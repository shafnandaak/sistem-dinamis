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fnanda\Downloads\Konstanta_dan_Parameter\"/>
    </mc:Choice>
  </mc:AlternateContent>
  <xr:revisionPtr revIDLastSave="0" documentId="8_{DC89ACA6-C164-4990-8800-9113B536200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ingkasan" sheetId="1" r:id="rId1"/>
    <sheet name="Klasifikasi Parameter" sheetId="2" r:id="rId2"/>
    <sheet name="Rujukan Paper" sheetId="3" r:id="rId3"/>
  </sheets>
  <definedNames>
    <definedName name="_xlnm._FilterDatabase" localSheetId="1" hidden="1">'Klasifikasi Parameter'!$A$1:$K$152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8" i="1"/>
  <c r="C7" i="1"/>
  <c r="C6" i="1"/>
  <c r="C5" i="1"/>
  <c r="C13" i="1" l="1"/>
</calcChain>
</file>

<file path=xl/sharedStrings.xml><?xml version="1.0" encoding="utf-8"?>
<sst xmlns="http://schemas.openxmlformats.org/spreadsheetml/2006/main" count="1526" uniqueCount="420">
  <si>
    <t>Klasifikasi Sumber Parameter Model SFD</t>
  </si>
  <si>
    <t>Kategori sumber</t>
  </si>
  <si>
    <t>Jumlah</t>
  </si>
  <si>
    <t>Arti</t>
  </si>
  <si>
    <t>Data resmi (langsung)</t>
  </si>
  <si>
    <t>Angka diambil langsung dari publikasi lembaga resmi (BPS Jabar, Kementan, Bapanas, Pemprov Jabar).</t>
  </si>
  <si>
    <t>Olahan data historis (rata-rata/CAGR)</t>
  </si>
  <si>
    <t>Peneliti menghitung sendiri dari data resmi (rata-rata 2018-2025, CAGR, rasio luas panen/luas lahan).</t>
  </si>
  <si>
    <t>Standar / pedoman (Bapanas, DKBM, WNPG)</t>
  </si>
  <si>
    <t>Mengacu pedoman gizi/ketahanan pangan (DKBM/TKPI, PPH, AKE, NCPR/IKP).</t>
  </si>
  <si>
    <t>Koefisien NBM / SKGB (Bapanas, BPS)</t>
  </si>
  <si>
    <t>Koefisien Neraca Bahan Makanan Jawa Barat (Bapanas) dan SKGB BPS 2018.</t>
  </si>
  <si>
    <t>Asumsi / kalibrasi peneliti</t>
  </si>
  <si>
    <t>Ditetapkan peneliti (asumsi atau hasil kalibrasi agar sesuai data historis); diuji lewat sensitivitas.</t>
  </si>
  <si>
    <t>Konstanta teknis / konversi satuan</t>
  </si>
  <si>
    <t>Konversi satuan dan konstanta waktu.</t>
  </si>
  <si>
    <t>Variabel keputusan (kebijakan)</t>
  </si>
  <si>
    <t>Tuas kebijakan; baseline 0 dan tingkat intervensi hipotetis rendah/sedang/tinggi (Tabel 15).</t>
  </si>
  <si>
    <t>Hasil analisis peneliti (regresi / estimasi citra)</t>
  </si>
  <si>
    <t>Dihasilkan peneliti lewat regresi atau estimasi citra satelit (bukan angka publikasi).</t>
  </si>
  <si>
    <t>Total</t>
  </si>
  <si>
    <t>Tertulis di skripsi</t>
  </si>
  <si>
    <t>Terverifikasi (dihitung ulang dari data)</t>
  </si>
  <si>
    <t>Inferensi - cek Lampiran 3</t>
  </si>
  <si>
    <t>K Luas Panen Padi</t>
  </si>
  <si>
    <t>No</t>
  </si>
  <si>
    <t>Modul</t>
  </si>
  <si>
    <t>Nama Variabel</t>
  </si>
  <si>
    <t>Jenis</t>
  </si>
  <si>
    <t>Nilai / Persamaan</t>
  </si>
  <si>
    <t>Satuan</t>
  </si>
  <si>
    <t>Kategori Sumber</t>
  </si>
  <si>
    <t>Lembaga / Pelaku</t>
  </si>
  <si>
    <t>Dasar Penetapan</t>
  </si>
  <si>
    <t>Rujukan Jurnal/Paper (justifikasi hubungan, bukan sumber angka)</t>
  </si>
  <si>
    <t>Status Bukti</t>
  </si>
  <si>
    <t>Padi dan Beras</t>
  </si>
  <si>
    <t>Faktor Setara Beras Umbi</t>
  </si>
  <si>
    <t>Parameter</t>
  </si>
  <si>
    <t>Dmnl</t>
  </si>
  <si>
    <t>Bapanas (metode FSVA/IKP)</t>
  </si>
  <si>
    <t>Konversi umbi ke setara beras 1/3 untuk NCPR (skripsi, Modul Umbi-umbian)</t>
  </si>
  <si>
    <t>Badan Pangan Nasional (2024) - metode NCPR/IKP</t>
  </si>
  <si>
    <t>Fraksi GKG Digiling</t>
  </si>
  <si>
    <t>Peneliti</t>
  </si>
  <si>
    <t>98% GKG tersedia diasumsikan digiling pada tahun berjalan (Tabel 11: "Asumsi")</t>
  </si>
  <si>
    <t>-</t>
  </si>
  <si>
    <t>K Benih Beras</t>
  </si>
  <si>
    <t>Bapanas - NBM Jawa Barat</t>
  </si>
  <si>
    <t>Koefisien penggunaan beras berdasarkan NBM Jawa Barat 2018 (teks Tabel 48); Tabel 4 menulis NBM tahun 2021 - samakan tahunnya</t>
  </si>
  <si>
    <t>K Benih Padi</t>
  </si>
  <si>
    <t>BPS - SKGB 2018</t>
  </si>
  <si>
    <t>Koefisien penggunaan padi berdasarkan Survei Konversi Gabah ke Beras (SKGB) BPS 2018</t>
  </si>
  <si>
    <t>K Industri Makanan Beras</t>
  </si>
  <si>
    <t>K Industri Non-Makanan Beras</t>
  </si>
  <si>
    <t>K Industri Non-Makanan Padi</t>
  </si>
  <si>
    <t>K Pakan Beras</t>
  </si>
  <si>
    <t>K Pakan Padi</t>
  </si>
  <si>
    <t>K Tercecer Beras</t>
  </si>
  <si>
    <t>K Tercecer Padi</t>
  </si>
  <si>
    <t>Pengaruh Irigasi terhadap Produktivitas</t>
  </si>
  <si>
    <t>Hasil kalibrasi (Tabel 11), terkait tuas kebijakan irigasi</t>
  </si>
  <si>
    <t>Rondhi et al. (2024) - arah hubungan irigasi -&gt; produktivitas (panah 3), bukan sumber angka</t>
  </si>
  <si>
    <t>Produktivitas Dasar Padi</t>
  </si>
  <si>
    <t>kuintal/ha</t>
  </si>
  <si>
    <t>Kementan/BPS (diolah)</t>
  </si>
  <si>
    <t>Rata-rata produktivitas padi 2018-2025 = 57,36 ku/ha</t>
  </si>
  <si>
    <t>Jagung</t>
  </si>
  <si>
    <t>K Benih Jagung</t>
  </si>
  <si>
    <t>Koefisien NBM Jawa Barat (skripsi: pakan 0,06; tercecer 0,05; benih 0,009; industri 0)</t>
  </si>
  <si>
    <t>K Industri Makanan Jagung</t>
  </si>
  <si>
    <t>K Industri Non-Makanan Jagung</t>
  </si>
  <si>
    <t>K Pakan Jagung</t>
  </si>
  <si>
    <t>K Tercecer Jagung</t>
  </si>
  <si>
    <t>Produktivitas Jagung Dasar Sebelum 2020</t>
  </si>
  <si>
    <t>Rata-rata 2018-2019 = 74,47 ku/ha (dua rezim karena perubahan tingkat data mulai 2020)</t>
  </si>
  <si>
    <t>Produktivitas Jagung Dasar Sejak 2020</t>
  </si>
  <si>
    <t>Rata-rata 2020-2025 = 102,40 ku/ha</t>
  </si>
  <si>
    <t>Kacang-kacangan</t>
  </si>
  <si>
    <t>Intersep Regresi Produktivitas Kacang Hijau</t>
  </si>
  <si>
    <t>Peneliti (regresi tren + dummy shock, data Kementan/BPS 2018-2025)</t>
  </si>
  <si>
    <t>Regresi produktivitas kacang hijau untuk menangani anomali 2019-2020 (Tabel 52)</t>
  </si>
  <si>
    <t>K Benih Kacang Hijau</t>
  </si>
  <si>
    <t>Koefisien komponen penggunaan NBM; nilai per komoditas ada di Lampiran 3. Catatan: benih 0,009 dan tercecer 0,05 sama persis dengan jagung -&gt; pastikan memang dari NBM, bukan nilai seragam</t>
  </si>
  <si>
    <t>K Benih Kacang Tanah</t>
  </si>
  <si>
    <t>K Benih Kedelai</t>
  </si>
  <si>
    <t>K Industri Makanan Kacang Hijau</t>
  </si>
  <si>
    <t>K Industri Makanan Kacang Tanah</t>
  </si>
  <si>
    <t>K Industri Makanan Kedelai</t>
  </si>
  <si>
    <t>K Industri Non-Makanan Kacang Hijau</t>
  </si>
  <si>
    <t>K Industri Non-Makanan Kacang Tanah</t>
  </si>
  <si>
    <t>K Industri Non-Makanan Kedelai</t>
  </si>
  <si>
    <t>K Pakan Kacang Hijau</t>
  </si>
  <si>
    <t>K Pakan Kacang Tanah</t>
  </si>
  <si>
    <t>K Pakan Kedelai</t>
  </si>
  <si>
    <t>K Tercecer Kacang Hijau</t>
  </si>
  <si>
    <t>K Tercecer Kacang Tanah</t>
  </si>
  <si>
    <t>K Tercecer Kedelai</t>
  </si>
  <si>
    <t>Produktivitas Dasar Kacang Hijau</t>
  </si>
  <si>
    <t>Rata-rata 2018 &amp; 2021-2025 (tanpa 2019-2020 yang anomali) = 11,12 ku/ha</t>
  </si>
  <si>
    <t>Produktivitas Dasar Kacang Tanah</t>
  </si>
  <si>
    <t>Rata-rata produktivitas 2018-2025</t>
  </si>
  <si>
    <t>Produktivitas Dasar Kedelai</t>
  </si>
  <si>
    <t>Slope Regresi Produktivitas Kacang Hijau</t>
  </si>
  <si>
    <t>Umbi-umbian</t>
  </si>
  <si>
    <t>K Benih Ubi Jalar</t>
  </si>
  <si>
    <t>Koefisien NBM; benih 0 karena diperbanyak vegetatif (skripsi)</t>
  </si>
  <si>
    <t>K Benih Ubi Kayu</t>
  </si>
  <si>
    <t>K Industri Makanan Ubi Jalar</t>
  </si>
  <si>
    <t>K Industri Makanan Ubi Kayu</t>
  </si>
  <si>
    <t>K Industri Non-Makanan Ubi Jalar</t>
  </si>
  <si>
    <t>K Industri Non-Makanan Ubi Kayu</t>
  </si>
  <si>
    <t>K Pakan Ubi Jalar</t>
  </si>
  <si>
    <t>K Pakan Ubi Kayu</t>
  </si>
  <si>
    <t>K Tercecer Ubi Jalar</t>
  </si>
  <si>
    <t>K Tercecer Ubi Kayu</t>
  </si>
  <si>
    <t>Produktivitas Dasar Ubi Jalar</t>
  </si>
  <si>
    <t>Produktivitas Dasar Ubi Kayu</t>
  </si>
  <si>
    <t>Umum/Teknis (lintas modul)</t>
  </si>
  <si>
    <t>Data Historis Laju Perubahan Lahan</t>
  </si>
  <si>
    <t>Eksogen</t>
  </si>
  <si>
    <t>Deret waktu (lookup)</t>
  </si>
  <si>
    <t>1/Year</t>
  </si>
  <si>
    <t>Peneliti (estimasi citra NDVI MODIS + ratio estimator, GEE)</t>
  </si>
  <si>
    <t>Laju perubahan luas lahan 2018-2025 dari hasil estimasi (Tabel 27); 2018-2019 dari data Kementan</t>
  </si>
  <si>
    <t>Li et al. (2014); Cochran (1977) - ratio estimator</t>
  </si>
  <si>
    <t>Belanja Dasar</t>
  </si>
  <si>
    <t>Rp/Year</t>
  </si>
  <si>
    <t>Pemerintah Provinsi Jawa Barat (2018)</t>
  </si>
  <si>
    <t>Belanja pemerintah sektor pertanian 2018 (Tabel 4 no.18)</t>
  </si>
  <si>
    <t>Jamil et al. (2023) - belanja -&gt; subsidi pupuk (panah 22)</t>
  </si>
  <si>
    <t>Elastisitas Harga terhadap Kelangkaan</t>
  </si>
  <si>
    <t>Hasil kalibrasi 0,05 (Tabel 11); diuji sensitivitas; sama untuk semua komoditas</t>
  </si>
  <si>
    <t>Persada et al. (2026) - kelangkaan -&gt; harga (panah 8), bukan sumber angka</t>
  </si>
  <si>
    <t>Hari per Tahun</t>
  </si>
  <si>
    <t>hari/Year</t>
  </si>
  <si>
    <t>365 hari</t>
  </si>
  <si>
    <t>IB Dasar</t>
  </si>
  <si>
    <t>BPS Provinsi Jawa Barat</t>
  </si>
  <si>
    <t>Indeks dibayar petani tahun dasar 2018 = 100</t>
  </si>
  <si>
    <t>Koefisien Shock 2019</t>
  </si>
  <si>
    <t>Koefisien Shock 2020</t>
  </si>
  <si>
    <t>Konversi Kilogram Gram</t>
  </si>
  <si>
    <t>gram/kg</t>
  </si>
  <si>
    <t>Konversi satuan / konstanta waktu</t>
  </si>
  <si>
    <t>Konversi Ton Kilogram</t>
  </si>
  <si>
    <t>kg/ton</t>
  </si>
  <si>
    <t>Konversi Ton Kuintal</t>
  </si>
  <si>
    <t>kuintal/ton</t>
  </si>
  <si>
    <t>Satu Tahun</t>
  </si>
  <si>
    <t>Year</t>
  </si>
  <si>
    <t>Waktu Penyesuaian Produktivitas</t>
  </si>
  <si>
    <t>Hasil kalibrasi 1 tahun (Tabel 11); dipakai pada SMOOTHI</t>
  </si>
  <si>
    <t>Sterman (2000) - fungsi SMOOTHI/penundaan informasi orde satu</t>
  </si>
  <si>
    <t>Konstanta rasio luas panen padi / luas lahan. Rata-rata rasio 2018-2025 yang saya hitung = 0,9907, TIDAK sama dengan 0,97777 -&gt; dasar penetapan perlu dicek</t>
  </si>
  <si>
    <t>Faoziyah et al. (2024) - arah luas lahan -&gt; luas panen (panah 2)</t>
  </si>
  <si>
    <t>Luas Sawah Irigasi Dasar</t>
  </si>
  <si>
    <t>ha</t>
  </si>
  <si>
    <t>BPS Provinsi Jawa Barat (2017)</t>
  </si>
  <si>
    <t>Nilai awal luas sawah irigasi 2017 (Tabel 4 no.8)</t>
  </si>
  <si>
    <t>K Luas Lahan Jagung Historis</t>
  </si>
  <si>
    <t>Rasio luas panen / luas lahan pertanian per tahun 2018-2025 (2025 = hasil nowcasting)</t>
  </si>
  <si>
    <t>Li et al. (2014) - K-ratio (2025)</t>
  </si>
  <si>
    <t>K Luas Lahan Kacang Hijau Historis</t>
  </si>
  <si>
    <t>K Luas Lahan Kacang Tanah Historis</t>
  </si>
  <si>
    <t>K Luas Lahan Kedelai Historis</t>
  </si>
  <si>
    <t>K Luas Lahan Ubi Jalar Historis</t>
  </si>
  <si>
    <t>K Luas Lahan Ubi Kayu Historis</t>
  </si>
  <si>
    <t>Bobot It Padi GKG</t>
  </si>
  <si>
    <t>Bobot komoditas indeks yang diterima petani (Tabel 4 no.15); metode indeks Laspeyres BPS</t>
  </si>
  <si>
    <t>Harga Dasar Padi GKG</t>
  </si>
  <si>
    <t>Rp/kuintal</t>
  </si>
  <si>
    <t>Harga produsen tahun dasar 2018 (Tabel 4 no.14)</t>
  </si>
  <si>
    <t>Balai Pengkajian Teknologi Pertanian Kalsel (2021) - harga -&gt; nilai produksi (panah 14)</t>
  </si>
  <si>
    <t>Bobot It Jagung</t>
  </si>
  <si>
    <t>Harga Dasar Jagung</t>
  </si>
  <si>
    <t>Bobot It Kacang Hijau</t>
  </si>
  <si>
    <t>Bobot It Kacang Tanah</t>
  </si>
  <si>
    <t>Bobot It Kedelai</t>
  </si>
  <si>
    <t>Harga Dasar Kacang Hijau</t>
  </si>
  <si>
    <t>Harga Dasar Kedelai</t>
  </si>
  <si>
    <t>Harga dasar Kacang Tanah</t>
  </si>
  <si>
    <t>Bobot It Ubi Jalar</t>
  </si>
  <si>
    <t>Bobot It Ubi Kayu</t>
  </si>
  <si>
    <t>Harga Dasar Ubi Jalar</t>
  </si>
  <si>
    <t>Harga Dasar Ubi Kayu</t>
  </si>
  <si>
    <t>Kesejahteraan Petani dan Ekonomi</t>
  </si>
  <si>
    <t>Data Historis Indeks yang Dibayar Petani</t>
  </si>
  <si>
    <t>Ib 2018-2025 (Tabel 4 no.15)</t>
  </si>
  <si>
    <t>Elastisitas Produktivitas terhadap NTP</t>
  </si>
  <si>
    <t>Hasil kalibrasi 0,5 (Tabel 11)</t>
  </si>
  <si>
    <t>Triwidia et al. (2024) - kesejahteraan petani -&gt; produktivitas (panah 25), bukan sumber angka</t>
  </si>
  <si>
    <t>IT Dasar</t>
  </si>
  <si>
    <t>Tahun dasar 2018 = 100</t>
  </si>
  <si>
    <t>Laju Kenaikan Indeks yang Dibayar</t>
  </si>
  <si>
    <t>BPS Provinsi Jawa Barat (diolah)</t>
  </si>
  <si>
    <t>Laju pertumbuhan rata-rata Ib 2018-2025 (CAGR (122,82/100)^(1/7)-1 = 2,98%) untuk proyeksi IHU</t>
  </si>
  <si>
    <t>NTP Dasar</t>
  </si>
  <si>
    <t>Rasio Nilai Tambah Bruto</t>
  </si>
  <si>
    <t>Peneliti (dikalibrasi ke PDRB subsektor tanaman pangan BPS Jabar)</t>
  </si>
  <si>
    <t>Hasil kalibrasi (skripsi, Modul Kesejahteraan Petani dan Ekonomi)</t>
  </si>
  <si>
    <t>Widyastutik et al. (2026) - nilai produksi -&gt; kesejahteraan (panah 31)</t>
  </si>
  <si>
    <t>Waktu Penyesuaian Harga</t>
  </si>
  <si>
    <t>Hasil kalibrasi 1 tahun (Tabel 11); dipakai pada DELAY1I</t>
  </si>
  <si>
    <t>Sterman (2000) - fungsi DELAY1I</t>
  </si>
  <si>
    <t>Bobot Padi-padian</t>
  </si>
  <si>
    <t>Bapanas (PPH)</t>
  </si>
  <si>
    <t>Bobot kelompok pangan PPH = 0,5 (skripsi Tabel 1)</t>
  </si>
  <si>
    <t>Direktorat Ketersediaan Pangan (2023)</t>
  </si>
  <si>
    <t>Kalori Beras</t>
  </si>
  <si>
    <t>kkal</t>
  </si>
  <si>
    <t>Bapanas (DKBM/TKPI)</t>
  </si>
  <si>
    <t>Kandungan kalori per 100 g (Tabel 4 no.11)</t>
  </si>
  <si>
    <t>Data Historis Konsumsi Perkapita Jagung</t>
  </si>
  <si>
    <t>kg/(jiwa*Year)</t>
  </si>
  <si>
    <t>Badan Pangan Nasional</t>
  </si>
  <si>
    <t>Konsumsi per kapita 2018-2025 (Tabel 4 no.10)</t>
  </si>
  <si>
    <t>Prasetya (2024); Wajdah et al. (2024) - penduduk -&gt; konsumsi (panah 9)</t>
  </si>
  <si>
    <t>BDD Jagung</t>
  </si>
  <si>
    <t>BDD 90% (skripsi Tabel 51)</t>
  </si>
  <si>
    <t>Kalori Jagung</t>
  </si>
  <si>
    <t>320 kkal/100 g (skripsi Tabel 51)</t>
  </si>
  <si>
    <t>Data Historis Konsumsi Perkapita Kacang Hijau</t>
  </si>
  <si>
    <t>Data Historis Konsumsi Perkapita Kacang Tanah</t>
  </si>
  <si>
    <t>Data Historis Konsumsi Perkapita Kedelai</t>
  </si>
  <si>
    <t>BDD Kacang Hijau</t>
  </si>
  <si>
    <t>Kandungan kalori (kkal/100 g) dan bagian dapat dimakan (BDD) - Tabel 4 no.11</t>
  </si>
  <si>
    <t>BDD Kacang Tanah</t>
  </si>
  <si>
    <t>BDD Kedelai</t>
  </si>
  <si>
    <t>Kalori Kacang Hijau</t>
  </si>
  <si>
    <t>Kalori Kacang Tanah</t>
  </si>
  <si>
    <t>Kalori Kedelai</t>
  </si>
  <si>
    <t>Data Historis Konsumsi Perkapita Ubi Jalar</t>
  </si>
  <si>
    <t>Data Historis Konsumsi Perkapita Ubi Kayu</t>
  </si>
  <si>
    <t>BDD Ubi Jalar</t>
  </si>
  <si>
    <t>BDD Ubi Kayu</t>
  </si>
  <si>
    <t>Kalori Ubi Jalar</t>
  </si>
  <si>
    <t>Kalori Ubi Kayu</t>
  </si>
  <si>
    <t>Ketersediaan pangan</t>
  </si>
  <si>
    <t>Data Historis Konsumsi Perkapita Beras</t>
  </si>
  <si>
    <t>Data Historis Laju Pertumbuhan Penduduk</t>
  </si>
  <si>
    <t>Laju pertumbuhan penduduk 2018-2025 (Tabel 4 no.13)</t>
  </si>
  <si>
    <t>Sterman (2002) - dinamika penduduk</t>
  </si>
  <si>
    <t>BDD Beras</t>
  </si>
  <si>
    <t>Skor PPH Max Kacang-kacangan</t>
  </si>
  <si>
    <t>Skor maksimum kelompok PPH (10 / 25 / 2,5) - skripsi Tabel 1</t>
  </si>
  <si>
    <t>Skor PPH Max Padi-padian</t>
  </si>
  <si>
    <t>Skor PPH Max Umbi-umbian</t>
  </si>
  <si>
    <t>Berat Acuan Kalori</t>
  </si>
  <si>
    <t>gram</t>
  </si>
  <si>
    <t>Bapanas (DKBM)</t>
  </si>
  <si>
    <t>Berat acuan 100 g untuk kandungan kalori</t>
  </si>
  <si>
    <t>Bobot Kacang-kacangan</t>
  </si>
  <si>
    <t>Bobot PPH = 2,0 (skripsi Tabel 1)</t>
  </si>
  <si>
    <t>Bobot Umbi-umbian</t>
  </si>
  <si>
    <t>Bobot PPH = 0,5 (skripsi Tabel 1)</t>
  </si>
  <si>
    <t>Kebutuhan Normatif Per Kapita</t>
  </si>
  <si>
    <t>gram/(jiwa*hari)</t>
  </si>
  <si>
    <t>Bapanas (metode NCPR/IKP)</t>
  </si>
  <si>
    <t>300 g serealia per kapita per hari</t>
  </si>
  <si>
    <t>Badan Pangan Nasional (2024) - NCPR</t>
  </si>
  <si>
    <t>Total Kalori Ideal Harian</t>
  </si>
  <si>
    <t>kkal/(jiwa*hari)</t>
  </si>
  <si>
    <t>Bapanas (AKE tingkat ketersediaan)</t>
  </si>
  <si>
    <t>2.400 kkal per kapita per hari</t>
  </si>
  <si>
    <t>Lahan Pertanian dan LP2B</t>
  </si>
  <si>
    <t>% LP2B</t>
  </si>
  <si>
    <t>Keputusan</t>
  </si>
  <si>
    <t>Peneliti (tingkat intervensi hipotetis)</t>
  </si>
  <si>
    <t>Baseline 0; skenario 0,25/0,50/1,00 (Tabel 15). Dasar luas LP2B: Pemprov Jabar 2015</t>
  </si>
  <si>
    <t>Purwandari et al. (2025); Saifuddin et al. (2024) - kebijakan lahan -&gt; laju alih fungsi (panah 21)</t>
  </si>
  <si>
    <t>Elastisitas Irigasi terhadap RAB</t>
  </si>
  <si>
    <t>Tidak tercantum di Tabel 11; diperlakukan sebagai asumsi/kalibrasi seperti sensitivitas RAB</t>
  </si>
  <si>
    <t>Rejekiningrum &amp; Kartiwa (2022) - belanja pemerintah -&gt; luas sawah irigasi (panah 23)</t>
  </si>
  <si>
    <t>Persentase Perubahan Irigasi</t>
  </si>
  <si>
    <t>Baseline 0; skenario 0,01/0,02/0,03 per tahun (Tabel 15). Dasar luas irigasi: BPS Jabar 2017</t>
  </si>
  <si>
    <t>Rondhi et al. (2024); Rejekiningrum &amp; Kartiwa (2022)</t>
  </si>
  <si>
    <t>Data Historis Subsidi Pupuk</t>
  </si>
  <si>
    <t>ton/Year</t>
  </si>
  <si>
    <t>Kementerian Pertanian</t>
  </si>
  <si>
    <t>Penyaluran subsidi pupuk 2018-2024 (Tabel 4 no.19)</t>
  </si>
  <si>
    <t>Pengaruh Subsidi terhadap Ib</t>
  </si>
  <si>
    <t>Tidak tercantum di Tabel 11; parameter perilaku -&gt; asumsi/kalibrasi</t>
  </si>
  <si>
    <t>Bunda et al. (2021); Widyastutik et al. (2026) - subsidi pupuk -&gt; kesejahteraan (panah 24)</t>
  </si>
  <si>
    <t>Sensitivitas RAB</t>
  </si>
  <si>
    <t>Hasil kalibrasi 0,3 (Tabel 11)</t>
  </si>
  <si>
    <t>Sensitivitas Subsidi Pupuk</t>
  </si>
  <si>
    <t>Hasil kalibrasi 0,2 (Tabel 11)</t>
  </si>
  <si>
    <t>Bunda et al. (2021); Widyastutik et al. (2026) (panah 24)</t>
  </si>
  <si>
    <t>Subsidi Dasar</t>
  </si>
  <si>
    <t>Kementerian Pertanian (2018)</t>
  </si>
  <si>
    <t>Penyaluran subsidi pupuk 2018 = 497.391 ton (Tabel 4 no.19)</t>
  </si>
  <si>
    <t>% Kenaikan Subsidi</t>
  </si>
  <si>
    <t>Baseline 0; skenario 0,10/0,20/0,30 (Tabel 15)</t>
  </si>
  <si>
    <t>Bunda et al. (2021); Widyastutik et al. (2026)</t>
  </si>
  <si>
    <t>% Penambahan RAB</t>
  </si>
  <si>
    <t>Jamil et al. (2023); Rejekiningrum &amp; Kartiwa (2022)</t>
  </si>
  <si>
    <t>Stok Beras (nilai awal)</t>
  </si>
  <si>
    <t>Nilai awal stock</t>
  </si>
  <si>
    <t>ton</t>
  </si>
  <si>
    <t>Bapanas (NBM)</t>
  </si>
  <si>
    <t>Stok beras 2018 (skripsi Tabel 48 "Nilai awal: stok beras 2018")</t>
  </si>
  <si>
    <t>Stok GKG (nilai awal)</t>
  </si>
  <si>
    <t>Bapanas/BPS</t>
  </si>
  <si>
    <t>Stok gabah 2018 (skripsi Tabel 48)</t>
  </si>
  <si>
    <t>Konversi GKG ke beras (0,6411) - tertanam di Penyediaan Beras</t>
  </si>
  <si>
    <t>Konstanta dalam persamaan</t>
  </si>
  <si>
    <t>BPS - SKGB 2018 Jawa Barat</t>
  </si>
  <si>
    <t>Angka konversi gabah ke beras 64,11%</t>
  </si>
  <si>
    <t>Stok Jagung (nilai awal)</t>
  </si>
  <si>
    <t>Di naskah skripsi masih tertulis placeholder "[isi sumber atau tulis asumsi]" -&gt; tentukan sumbernya</t>
  </si>
  <si>
    <t>Stok Kedelai / Kacang Tanah / Kacang Hijau (nilai awal)</t>
  </si>
  <si>
    <t>101.545 / 36.243,3 / 10.157,8</t>
  </si>
  <si>
    <t>Bapanas (NBM) - dugaan</t>
  </si>
  <si>
    <t>Sumber tidak disebut di naskah -&gt; cek Lampiran 3</t>
  </si>
  <si>
    <t>Stok Ubi Kayu / Ubi Jalar (nilai awal)</t>
  </si>
  <si>
    <t>1.598.800 / 475.971</t>
  </si>
  <si>
    <t>Luas Lahan Pertanian (nilai awal)</t>
  </si>
  <si>
    <t>Sama dengan data resmi 2018 pada Tabel 27. Naskah Tabel 46 &amp; Tabel 10 masih menulis 1.655.937 / 1.655.940</t>
  </si>
  <si>
    <t>Proyeksi Laju Perubahan Lahan Pertanian</t>
  </si>
  <si>
    <t>1/tahun</t>
  </si>
  <si>
    <t>Hasil estimasi peneliti (diolah)</t>
  </si>
  <si>
    <t>Rata-rata laju 2018-2025 untuk proyeksi 2026-2035. File .mdl: -0,00212; naskah: -0,00322 -&gt; samakan</t>
  </si>
  <si>
    <t>Jumlah Penduduk Awal (nilai awal stock)</t>
  </si>
  <si>
    <t>jiwa</t>
  </si>
  <si>
    <t>BPS Provinsi Jawa Barat (2018)</t>
  </si>
  <si>
    <t>File .mdl: 48.683.700; naskah Tabel 10 menulis 46.709.600 -&gt; samakan</t>
  </si>
  <si>
    <t>Proyeksi Laju Pertumbuhan Penduduk 2026-2035</t>
  </si>
  <si>
    <t>1,06 x (1,06/1,49)^((t-2025)/7)</t>
  </si>
  <si>
    <t>%/tahun</t>
  </si>
  <si>
    <t>Tren geometrik penurunan laju 2018-2025 (naskah: "asumsi peneliti")</t>
  </si>
  <si>
    <t>Proyeksi Konsumsi Perkapita 2026-2035 (7 komoditas)</t>
  </si>
  <si>
    <t>Data x (C2025/C2018)^((t-2025)/7)</t>
  </si>
  <si>
    <t>kg/jiwa/tahun</t>
  </si>
  <si>
    <t>Ekstrapolasi laju geometrik 2018-2025 (naskah: "asumsi peneliti")</t>
  </si>
  <si>
    <t>Luas panen</t>
  </si>
  <si>
    <t>K Luas Panen Jagung proyeksi 2026-2035 (tertanam)</t>
  </si>
  <si>
    <t>0,05597</t>
  </si>
  <si>
    <t>Rata-rata rasio luas panen / luas lahan 2018-2025 (hasil hitung ulang saya mendekati nilai ini)</t>
  </si>
  <si>
    <t>K Luas Panen Kedelai proyeksi 2026-2035 (tertanam)</t>
  </si>
  <si>
    <t>0,02142</t>
  </si>
  <si>
    <t>K Luas Panen Kacang Tanah proyeksi 2026-2035 (tertanam)</t>
  </si>
  <si>
    <t>0,01392</t>
  </si>
  <si>
    <t>K Luas Panen Kacang Hijau proyeksi 2026-2035 (tertanam)</t>
  </si>
  <si>
    <t>0,00347</t>
  </si>
  <si>
    <t>K Luas Panen Ubi Kayu proyeksi 2026-2035 (tertanam)</t>
  </si>
  <si>
    <t>0,02739</t>
  </si>
  <si>
    <t>K Luas Panen Ubi Jalar proyeksi 2026-2035 (tertanam)</t>
  </si>
  <si>
    <t>0,01173</t>
  </si>
  <si>
    <t>Panah CLD</t>
  </si>
  <si>
    <t>Hubungan (sebab -&gt; akibat)</t>
  </si>
  <si>
    <t>Polaritas</t>
  </si>
  <si>
    <t>Paper (di skripsi)</t>
  </si>
  <si>
    <t>Parameter model yang mengukur hubungan ini</t>
  </si>
  <si>
    <t>Alih fungsi lahan -&gt; Luas lahan pertanian</t>
  </si>
  <si>
    <t>Faoziyah et al. (2024)</t>
  </si>
  <si>
    <t>Proyeksi/Data Historis Laju Perubahan Lahan; Efektivitas LP2B</t>
  </si>
  <si>
    <t>Luas lahan -&gt; Luas panen</t>
  </si>
  <si>
    <t>+</t>
  </si>
  <si>
    <t>K Luas Panen/K Luas Lahan [komoditas], K Luas Panen Padi</t>
  </si>
  <si>
    <t>Luas sawah irigasi -&gt; Produktivitas</t>
  </si>
  <si>
    <t>Rondhi et al. (2024)</t>
  </si>
  <si>
    <t>Pengaruh Irigasi terhadap Produktivitas (0,2); Luas Sawah Irigasi Dasar</t>
  </si>
  <si>
    <t>Luas panen -&gt; Produksi</t>
  </si>
  <si>
    <t>BPS Provinsi Jawa Barat (2024)</t>
  </si>
  <si>
    <t>Identitas produksi (tanpa parameter)</t>
  </si>
  <si>
    <t>Produktivitas -&gt; Produksi</t>
  </si>
  <si>
    <t>Produktivitas Dasar [komoditas]</t>
  </si>
  <si>
    <t>Kelangkaan pangan -&gt; Harga</t>
  </si>
  <si>
    <t>Persada et al. (2026)</t>
  </si>
  <si>
    <t>Elastisitas Harga terhadap Kelangkaan (0,05); Waktu Penyesuaian Harga</t>
  </si>
  <si>
    <t>Jumlah penduduk -&gt; Konsumsi</t>
  </si>
  <si>
    <t>Prasetya (2024); Wajdah et al. (2024)</t>
  </si>
  <si>
    <t>Data/Proyeksi Konsumsi Perkapita</t>
  </si>
  <si>
    <t>Harga -&gt; Kesejahteraan petani</t>
  </si>
  <si>
    <t>Bobot It, Harga Dasar</t>
  </si>
  <si>
    <t>Konsumsi -&gt; Kecukupan energi</t>
  </si>
  <si>
    <t>Kalori, BDD, Total Kalori Ideal Harian (2.400)</t>
  </si>
  <si>
    <t>Produksi -&gt; Kecukupan energi</t>
  </si>
  <si>
    <t>Bobot dan Skor PPH Max</t>
  </si>
  <si>
    <t>Harga -&gt; Konsumsi</t>
  </si>
  <si>
    <t>Farandy et al. (2026)</t>
  </si>
  <si>
    <t>(tidak ada parameter khusus)</t>
  </si>
  <si>
    <t>Harga -&gt; Nilai produksi</t>
  </si>
  <si>
    <t>BPTP Kalimantan Selatan (2021)</t>
  </si>
  <si>
    <t>Harga Dasar</t>
  </si>
  <si>
    <t>Produksi -&gt; Nilai produksi</t>
  </si>
  <si>
    <t>Jumlah penduduk -&gt; Laju alih fungsi lahan</t>
  </si>
  <si>
    <t>Dewa et al. (2026)</t>
  </si>
  <si>
    <t>Dinamika penduduk (kelahiran/kematian)</t>
  </si>
  <si>
    <t>+/-</t>
  </si>
  <si>
    <t>Sterman (2002)</t>
  </si>
  <si>
    <t>Proyeksi Laju Pertumbuhan Penduduk</t>
  </si>
  <si>
    <t>Kebijakan lahan pertanian -&gt; Laju alih fungsi lahan</t>
  </si>
  <si>
    <t>Purwandari et al. (2025); Saifuddin et al. (2024)</t>
  </si>
  <si>
    <t>Belanja pemerintah -&gt; Subsidi pupuk</t>
  </si>
  <si>
    <t>Jamil et al. (2023)</t>
  </si>
  <si>
    <t>Sensitivitas RAB (0,3); % Penambahan RAB</t>
  </si>
  <si>
    <t>Belanja pemerintah -&gt; Luas sawah irigasi</t>
  </si>
  <si>
    <t>Rejekiningrum &amp; Kartiwa (2022)</t>
  </si>
  <si>
    <t>Elastisitas Irigasi terhadap RAB (0,05); Persentase Perubahan Irigasi</t>
  </si>
  <si>
    <t>Subsidi pupuk -&gt; Kesejahteraan petani</t>
  </si>
  <si>
    <t>Sensitivitas Subsidi Pupuk (0,2); Pengaruh Subsidi terhadap Ib (0,05); % Kenaikan Subsidi</t>
  </si>
  <si>
    <t>Kesejahteraan petani -&gt; Produktivitas</t>
  </si>
  <si>
    <t>Triwidia et al. (2024)</t>
  </si>
  <si>
    <t>Elastisitas Produktivitas terhadap NTP (0,5)</t>
  </si>
  <si>
    <t>Kesejahteraan petani -&gt; Alih fungsi lahan</t>
  </si>
  <si>
    <t>Rondhi et al. (2026)</t>
  </si>
  <si>
    <t>Nilai produksi -&gt; Kesejahteraan petani</t>
  </si>
  <si>
    <t>Widyastutik et al. (2026)</t>
  </si>
  <si>
    <t>Rasio Nilai Tambah Bruto (kalibrasi)</t>
  </si>
  <si>
    <t>Fungsi SMOOTHI dan DELAY1I (penundaan orde satu)</t>
  </si>
  <si>
    <t>Sterman (2000)</t>
  </si>
  <si>
    <t>Waktu Penyesuaian Produktivitas; Waktu Penyesuaian Harga</t>
  </si>
  <si>
    <t>NCPR (kebutuhan normatif / produksi bersih)</t>
  </si>
  <si>
    <t>Badan Pangan Nasional (2024)</t>
  </si>
  <si>
    <t>Kebutuhan Normatif Per Kapita (300 g); Faktor Setara Beras Umbi (1/3)</t>
  </si>
  <si>
    <t>Estimasi luas lahan &amp; K-ratio dari citra (ratio estimator)</t>
  </si>
  <si>
    <t>Li et al. (2014); Cochran (1977)</t>
  </si>
  <si>
    <t>Data Historis Laju Perubahan Lahan; K Luas Lahan [komoditas]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</si>
</sst>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1E3A8A"/>
      <name val="Calibri"/>
    </font>
    <font>
      <b/>
      <sz val="11"/>
      <name val="Calibri"/>
    </font>
    <font>
      <i/>
      <sz val="11"/>
      <color rgb="FFB91C1C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DE9FE"/>
      </patternFill>
    </fill>
    <fill>
      <patternFill patternType="solid">
        <fgColor rgb="FFFFEDD5"/>
      </patternFill>
    </fill>
    <fill>
      <patternFill patternType="solid">
        <fgColor rgb="FFCFFAFE"/>
      </patternFill>
    </fill>
    <fill>
      <patternFill patternType="solid">
        <fgColor rgb="FFDBEAFE"/>
      </patternFill>
    </fill>
    <fill>
      <patternFill patternType="solid">
        <fgColor rgb="FFFCE7F3"/>
      </patternFill>
    </fill>
    <fill>
      <patternFill patternType="solid">
        <fgColor rgb="FFDCFCE7"/>
      </patternFill>
    </fill>
    <fill>
      <patternFill patternType="solid">
        <fgColor rgb="FFF3F4F6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1" fillId="2" borderId="1" xfId="0" applyFont="1" applyFill="1" applyBorder="1"/>
    <xf numFmtId="0" fontId="0" fillId="8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"/>
  <sheetViews>
    <sheetView showGridLines="0" workbookViewId="0">
      <selection activeCell="D17" sqref="D17"/>
    </sheetView>
  </sheetViews>
  <sheetFormatPr defaultRowHeight="14.4" x14ac:dyDescent="0.3"/>
  <cols>
    <col min="1" max="1" width="3" customWidth="1"/>
    <col min="2" max="2" width="50" customWidth="1"/>
    <col min="3" max="3" width="12" customWidth="1"/>
    <col min="4" max="4" width="90" customWidth="1"/>
  </cols>
  <sheetData>
    <row r="2" spans="2:4" ht="18" x14ac:dyDescent="0.35">
      <c r="B2" s="1" t="s">
        <v>0</v>
      </c>
    </row>
    <row r="4" spans="2:4" x14ac:dyDescent="0.3">
      <c r="B4" s="2" t="s">
        <v>1</v>
      </c>
      <c r="C4" s="2" t="s">
        <v>2</v>
      </c>
      <c r="D4" s="2" t="s">
        <v>3</v>
      </c>
    </row>
    <row r="5" spans="2:4" x14ac:dyDescent="0.3">
      <c r="B5" s="3" t="s">
        <v>4</v>
      </c>
      <c r="C5" s="4">
        <f>COUNTIF('Klasifikasi Parameter'!$G$2:$G$152,B5)</f>
        <v>36</v>
      </c>
      <c r="D5" s="4" t="s">
        <v>5</v>
      </c>
    </row>
    <row r="6" spans="2:4" x14ac:dyDescent="0.3">
      <c r="B6" s="5" t="s">
        <v>6</v>
      </c>
      <c r="C6" s="4">
        <f>COUNTIF('Klasifikasi Parameter'!$G$2:$G$152,B6)</f>
        <v>23</v>
      </c>
      <c r="D6" s="4" t="s">
        <v>7</v>
      </c>
    </row>
    <row r="7" spans="2:4" x14ac:dyDescent="0.3">
      <c r="B7" s="6" t="s">
        <v>8</v>
      </c>
      <c r="C7" s="4">
        <f>COUNTIF('Klasifikasi Parameter'!$G$2:$G$152,B7)</f>
        <v>24</v>
      </c>
      <c r="D7" s="4" t="s">
        <v>9</v>
      </c>
    </row>
    <row r="8" spans="2:4" x14ac:dyDescent="0.3">
      <c r="B8" s="7" t="s">
        <v>10</v>
      </c>
      <c r="C8" s="4">
        <f>COUNTIF('Klasifikasi Parameter'!$G$2:$G$152,B8)</f>
        <v>40</v>
      </c>
      <c r="D8" s="4" t="s">
        <v>11</v>
      </c>
    </row>
    <row r="9" spans="2:4" x14ac:dyDescent="0.3">
      <c r="B9" s="8" t="s">
        <v>12</v>
      </c>
      <c r="C9" s="4">
        <f>COUNTIF('Klasifikasi Parameter'!$G$2:$G$152,B9)</f>
        <v>14</v>
      </c>
      <c r="D9" s="4" t="s">
        <v>13</v>
      </c>
    </row>
    <row r="10" spans="2:4" x14ac:dyDescent="0.3">
      <c r="B10" s="9" t="s">
        <v>14</v>
      </c>
      <c r="C10" s="4">
        <f>COUNTIF('Klasifikasi Parameter'!$G$2:$G$152,B10)</f>
        <v>5</v>
      </c>
      <c r="D10" s="4" t="s">
        <v>15</v>
      </c>
    </row>
    <row r="11" spans="2:4" x14ac:dyDescent="0.3">
      <c r="B11" s="10" t="s">
        <v>16</v>
      </c>
      <c r="C11" s="4">
        <f>COUNTIF('Klasifikasi Parameter'!$G$2:$G$152,B11)</f>
        <v>4</v>
      </c>
      <c r="D11" s="4" t="s">
        <v>17</v>
      </c>
    </row>
    <row r="12" spans="2:4" x14ac:dyDescent="0.3">
      <c r="B12" s="11" t="s">
        <v>18</v>
      </c>
      <c r="C12" s="4">
        <f>COUNTIF('Klasifikasi Parameter'!$G$2:$G$152,B12)</f>
        <v>5</v>
      </c>
      <c r="D12" s="4" t="s">
        <v>19</v>
      </c>
    </row>
    <row r="13" spans="2:4" x14ac:dyDescent="0.3">
      <c r="B13" s="12" t="s">
        <v>20</v>
      </c>
      <c r="C13" s="12">
        <f>SUM(C5:C12)</f>
        <v>151</v>
      </c>
      <c r="D13" s="4"/>
    </row>
    <row r="14" spans="2:4" x14ac:dyDescent="0.3">
      <c r="B14" s="4"/>
      <c r="C14" s="4"/>
      <c r="D1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2"/>
  <sheetViews>
    <sheetView workbookViewId="0">
      <pane xSplit="3" ySplit="1" topLeftCell="K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20" customWidth="1"/>
    <col min="3" max="3" width="38" customWidth="1"/>
    <col min="4" max="4" width="16" customWidth="1"/>
    <col min="5" max="5" width="22" customWidth="1"/>
    <col min="6" max="6" width="12" customWidth="1"/>
    <col min="7" max="8" width="30" customWidth="1"/>
    <col min="9" max="9" width="62" customWidth="1"/>
    <col min="10" max="10" width="46" customWidth="1"/>
    <col min="11" max="11" width="22" customWidth="1"/>
  </cols>
  <sheetData>
    <row r="1" spans="1:11" ht="28.8" x14ac:dyDescent="0.3">
      <c r="A1" s="13" t="s">
        <v>25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33</v>
      </c>
      <c r="J1" s="13" t="s">
        <v>34</v>
      </c>
      <c r="K1" s="13" t="s">
        <v>35</v>
      </c>
    </row>
    <row r="2" spans="1:11" ht="28.8" x14ac:dyDescent="0.3">
      <c r="A2" s="14">
        <v>1</v>
      </c>
      <c r="B2" s="14" t="s">
        <v>36</v>
      </c>
      <c r="C2" s="14" t="s">
        <v>37</v>
      </c>
      <c r="D2" s="14" t="s">
        <v>38</v>
      </c>
      <c r="E2" s="14">
        <v>0.33329999999999999</v>
      </c>
      <c r="F2" s="14" t="s">
        <v>39</v>
      </c>
      <c r="G2" s="15" t="s">
        <v>8</v>
      </c>
      <c r="H2" s="14" t="s">
        <v>40</v>
      </c>
      <c r="I2" s="14" t="s">
        <v>41</v>
      </c>
      <c r="J2" s="14" t="s">
        <v>42</v>
      </c>
      <c r="K2" s="14" t="s">
        <v>21</v>
      </c>
    </row>
    <row r="3" spans="1:11" ht="28.8" x14ac:dyDescent="0.3">
      <c r="A3" s="14">
        <v>2</v>
      </c>
      <c r="B3" s="14" t="s">
        <v>36</v>
      </c>
      <c r="C3" s="14" t="s">
        <v>43</v>
      </c>
      <c r="D3" s="14" t="s">
        <v>38</v>
      </c>
      <c r="E3" s="14">
        <v>0.98</v>
      </c>
      <c r="F3" s="14" t="s">
        <v>39</v>
      </c>
      <c r="G3" s="16" t="s">
        <v>12</v>
      </c>
      <c r="H3" s="14" t="s">
        <v>44</v>
      </c>
      <c r="I3" s="14" t="s">
        <v>45</v>
      </c>
      <c r="J3" s="14" t="s">
        <v>46</v>
      </c>
      <c r="K3" s="14" t="s">
        <v>21</v>
      </c>
    </row>
    <row r="4" spans="1:11" ht="28.8" x14ac:dyDescent="0.3">
      <c r="A4" s="14">
        <v>3</v>
      </c>
      <c r="B4" s="14" t="s">
        <v>36</v>
      </c>
      <c r="C4" s="14" t="s">
        <v>47</v>
      </c>
      <c r="D4" s="14" t="s">
        <v>38</v>
      </c>
      <c r="E4" s="14">
        <v>0</v>
      </c>
      <c r="F4" s="14" t="s">
        <v>39</v>
      </c>
      <c r="G4" s="17" t="s">
        <v>10</v>
      </c>
      <c r="H4" s="14" t="s">
        <v>48</v>
      </c>
      <c r="I4" s="14" t="s">
        <v>49</v>
      </c>
      <c r="J4" s="14" t="s">
        <v>46</v>
      </c>
      <c r="K4" s="14" t="s">
        <v>21</v>
      </c>
    </row>
    <row r="5" spans="1:11" ht="28.8" x14ac:dyDescent="0.3">
      <c r="A5" s="14">
        <v>4</v>
      </c>
      <c r="B5" s="14" t="s">
        <v>36</v>
      </c>
      <c r="C5" s="14" t="s">
        <v>50</v>
      </c>
      <c r="D5" s="14" t="s">
        <v>38</v>
      </c>
      <c r="E5" s="14">
        <v>8.9999999999999993E-3</v>
      </c>
      <c r="F5" s="14" t="s">
        <v>39</v>
      </c>
      <c r="G5" s="17" t="s">
        <v>10</v>
      </c>
      <c r="H5" s="14" t="s">
        <v>51</v>
      </c>
      <c r="I5" s="14" t="s">
        <v>52</v>
      </c>
      <c r="J5" s="14" t="s">
        <v>46</v>
      </c>
      <c r="K5" s="14" t="s">
        <v>21</v>
      </c>
    </row>
    <row r="6" spans="1:11" ht="28.8" x14ac:dyDescent="0.3">
      <c r="A6" s="14">
        <v>5</v>
      </c>
      <c r="B6" s="14" t="s">
        <v>36</v>
      </c>
      <c r="C6" s="14" t="s">
        <v>53</v>
      </c>
      <c r="D6" s="14" t="s">
        <v>38</v>
      </c>
      <c r="E6" s="14">
        <v>0</v>
      </c>
      <c r="F6" s="14" t="s">
        <v>39</v>
      </c>
      <c r="G6" s="17" t="s">
        <v>10</v>
      </c>
      <c r="H6" s="14" t="s">
        <v>48</v>
      </c>
      <c r="I6" s="14" t="s">
        <v>49</v>
      </c>
      <c r="J6" s="14" t="s">
        <v>46</v>
      </c>
      <c r="K6" s="14" t="s">
        <v>21</v>
      </c>
    </row>
    <row r="7" spans="1:11" ht="28.8" x14ac:dyDescent="0.3">
      <c r="A7" s="14">
        <v>6</v>
      </c>
      <c r="B7" s="14" t="s">
        <v>36</v>
      </c>
      <c r="C7" s="14" t="s">
        <v>54</v>
      </c>
      <c r="D7" s="14" t="s">
        <v>38</v>
      </c>
      <c r="E7" s="14">
        <v>0</v>
      </c>
      <c r="F7" s="14" t="s">
        <v>39</v>
      </c>
      <c r="G7" s="17" t="s">
        <v>10</v>
      </c>
      <c r="H7" s="14" t="s">
        <v>48</v>
      </c>
      <c r="I7" s="14" t="s">
        <v>49</v>
      </c>
      <c r="J7" s="14" t="s">
        <v>46</v>
      </c>
      <c r="K7" s="14" t="s">
        <v>21</v>
      </c>
    </row>
    <row r="8" spans="1:11" ht="28.8" x14ac:dyDescent="0.3">
      <c r="A8" s="14">
        <v>7</v>
      </c>
      <c r="B8" s="14" t="s">
        <v>36</v>
      </c>
      <c r="C8" s="14" t="s">
        <v>55</v>
      </c>
      <c r="D8" s="14" t="s">
        <v>38</v>
      </c>
      <c r="E8" s="14">
        <v>5.5999999999999999E-3</v>
      </c>
      <c r="F8" s="14" t="s">
        <v>39</v>
      </c>
      <c r="G8" s="17" t="s">
        <v>10</v>
      </c>
      <c r="H8" s="14" t="s">
        <v>51</v>
      </c>
      <c r="I8" s="14" t="s">
        <v>52</v>
      </c>
      <c r="J8" s="14" t="s">
        <v>46</v>
      </c>
      <c r="K8" s="14" t="s">
        <v>21</v>
      </c>
    </row>
    <row r="9" spans="1:11" ht="28.8" x14ac:dyDescent="0.3">
      <c r="A9" s="14">
        <v>8</v>
      </c>
      <c r="B9" s="14" t="s">
        <v>36</v>
      </c>
      <c r="C9" s="14" t="s">
        <v>56</v>
      </c>
      <c r="D9" s="14" t="s">
        <v>38</v>
      </c>
      <c r="E9" s="14">
        <v>1.6999999999999999E-3</v>
      </c>
      <c r="F9" s="14" t="s">
        <v>39</v>
      </c>
      <c r="G9" s="17" t="s">
        <v>10</v>
      </c>
      <c r="H9" s="14" t="s">
        <v>48</v>
      </c>
      <c r="I9" s="14" t="s">
        <v>49</v>
      </c>
      <c r="J9" s="14" t="s">
        <v>46</v>
      </c>
      <c r="K9" s="14" t="s">
        <v>21</v>
      </c>
    </row>
    <row r="10" spans="1:11" ht="28.8" x14ac:dyDescent="0.3">
      <c r="A10" s="14">
        <v>9</v>
      </c>
      <c r="B10" s="14" t="s">
        <v>36</v>
      </c>
      <c r="C10" s="14" t="s">
        <v>57</v>
      </c>
      <c r="D10" s="14" t="s">
        <v>38</v>
      </c>
      <c r="E10" s="14">
        <v>4.4000000000000003E-3</v>
      </c>
      <c r="F10" s="14" t="s">
        <v>39</v>
      </c>
      <c r="G10" s="17" t="s">
        <v>10</v>
      </c>
      <c r="H10" s="14" t="s">
        <v>51</v>
      </c>
      <c r="I10" s="14" t="s">
        <v>52</v>
      </c>
      <c r="J10" s="14" t="s">
        <v>46</v>
      </c>
      <c r="K10" s="14" t="s">
        <v>21</v>
      </c>
    </row>
    <row r="11" spans="1:11" ht="28.8" x14ac:dyDescent="0.3">
      <c r="A11" s="14">
        <v>10</v>
      </c>
      <c r="B11" s="14" t="s">
        <v>36</v>
      </c>
      <c r="C11" s="14" t="s">
        <v>58</v>
      </c>
      <c r="D11" s="14" t="s">
        <v>38</v>
      </c>
      <c r="E11" s="14">
        <v>2.5000000000000001E-2</v>
      </c>
      <c r="F11" s="14" t="s">
        <v>39</v>
      </c>
      <c r="G11" s="17" t="s">
        <v>10</v>
      </c>
      <c r="H11" s="14" t="s">
        <v>48</v>
      </c>
      <c r="I11" s="14" t="s">
        <v>49</v>
      </c>
      <c r="J11" s="14" t="s">
        <v>46</v>
      </c>
      <c r="K11" s="14" t="s">
        <v>21</v>
      </c>
    </row>
    <row r="12" spans="1:11" ht="28.8" x14ac:dyDescent="0.3">
      <c r="A12" s="14">
        <v>11</v>
      </c>
      <c r="B12" s="14" t="s">
        <v>36</v>
      </c>
      <c r="C12" s="14" t="s">
        <v>59</v>
      </c>
      <c r="D12" s="14" t="s">
        <v>38</v>
      </c>
      <c r="E12" s="14">
        <v>5.3999999999999999E-2</v>
      </c>
      <c r="F12" s="14" t="s">
        <v>39</v>
      </c>
      <c r="G12" s="17" t="s">
        <v>10</v>
      </c>
      <c r="H12" s="14" t="s">
        <v>51</v>
      </c>
      <c r="I12" s="14" t="s">
        <v>52</v>
      </c>
      <c r="J12" s="14" t="s">
        <v>46</v>
      </c>
      <c r="K12" s="14" t="s">
        <v>21</v>
      </c>
    </row>
    <row r="13" spans="1:11" ht="28.8" x14ac:dyDescent="0.3">
      <c r="A13" s="14">
        <v>12</v>
      </c>
      <c r="B13" s="14" t="s">
        <v>36</v>
      </c>
      <c r="C13" s="14" t="s">
        <v>60</v>
      </c>
      <c r="D13" s="14" t="s">
        <v>38</v>
      </c>
      <c r="E13" s="14">
        <v>0.2</v>
      </c>
      <c r="F13" s="14" t="s">
        <v>39</v>
      </c>
      <c r="G13" s="16" t="s">
        <v>12</v>
      </c>
      <c r="H13" s="14" t="s">
        <v>44</v>
      </c>
      <c r="I13" s="14" t="s">
        <v>61</v>
      </c>
      <c r="J13" s="14" t="s">
        <v>62</v>
      </c>
      <c r="K13" s="14" t="s">
        <v>21</v>
      </c>
    </row>
    <row r="14" spans="1:11" ht="28.8" x14ac:dyDescent="0.3">
      <c r="A14" s="14">
        <v>13</v>
      </c>
      <c r="B14" s="14" t="s">
        <v>36</v>
      </c>
      <c r="C14" s="14" t="s">
        <v>63</v>
      </c>
      <c r="D14" s="14" t="s">
        <v>38</v>
      </c>
      <c r="E14" s="14">
        <v>57.36</v>
      </c>
      <c r="F14" s="14" t="s">
        <v>64</v>
      </c>
      <c r="G14" s="18" t="s">
        <v>6</v>
      </c>
      <c r="H14" s="14" t="s">
        <v>65</v>
      </c>
      <c r="I14" s="14" t="s">
        <v>66</v>
      </c>
      <c r="J14" s="14" t="s">
        <v>46</v>
      </c>
      <c r="K14" s="14" t="s">
        <v>22</v>
      </c>
    </row>
    <row r="15" spans="1:11" ht="28.8" x14ac:dyDescent="0.3">
      <c r="A15" s="14">
        <v>14</v>
      </c>
      <c r="B15" s="14" t="s">
        <v>67</v>
      </c>
      <c r="C15" s="14" t="s">
        <v>68</v>
      </c>
      <c r="D15" s="14" t="s">
        <v>38</v>
      </c>
      <c r="E15" s="14">
        <v>8.9999999999999993E-3</v>
      </c>
      <c r="F15" s="14" t="s">
        <v>39</v>
      </c>
      <c r="G15" s="17" t="s">
        <v>10</v>
      </c>
      <c r="H15" s="14" t="s">
        <v>48</v>
      </c>
      <c r="I15" s="14" t="s">
        <v>69</v>
      </c>
      <c r="J15" s="14" t="s">
        <v>46</v>
      </c>
      <c r="K15" s="14" t="s">
        <v>21</v>
      </c>
    </row>
    <row r="16" spans="1:11" ht="28.8" x14ac:dyDescent="0.3">
      <c r="A16" s="14">
        <v>15</v>
      </c>
      <c r="B16" s="14" t="s">
        <v>67</v>
      </c>
      <c r="C16" s="14" t="s">
        <v>70</v>
      </c>
      <c r="D16" s="14" t="s">
        <v>38</v>
      </c>
      <c r="E16" s="14">
        <v>0</v>
      </c>
      <c r="F16" s="14" t="s">
        <v>39</v>
      </c>
      <c r="G16" s="17" t="s">
        <v>10</v>
      </c>
      <c r="H16" s="14" t="s">
        <v>48</v>
      </c>
      <c r="I16" s="14" t="s">
        <v>69</v>
      </c>
      <c r="J16" s="14" t="s">
        <v>46</v>
      </c>
      <c r="K16" s="14" t="s">
        <v>21</v>
      </c>
    </row>
    <row r="17" spans="1:11" ht="28.8" x14ac:dyDescent="0.3">
      <c r="A17" s="14">
        <v>16</v>
      </c>
      <c r="B17" s="14" t="s">
        <v>67</v>
      </c>
      <c r="C17" s="14" t="s">
        <v>71</v>
      </c>
      <c r="D17" s="14" t="s">
        <v>38</v>
      </c>
      <c r="E17" s="14">
        <v>0</v>
      </c>
      <c r="F17" s="14" t="s">
        <v>39</v>
      </c>
      <c r="G17" s="17" t="s">
        <v>10</v>
      </c>
      <c r="H17" s="14" t="s">
        <v>48</v>
      </c>
      <c r="I17" s="14" t="s">
        <v>69</v>
      </c>
      <c r="J17" s="14" t="s">
        <v>46</v>
      </c>
      <c r="K17" s="14" t="s">
        <v>21</v>
      </c>
    </row>
    <row r="18" spans="1:11" ht="28.8" x14ac:dyDescent="0.3">
      <c r="A18" s="14">
        <v>17</v>
      </c>
      <c r="B18" s="14" t="s">
        <v>67</v>
      </c>
      <c r="C18" s="14" t="s">
        <v>72</v>
      </c>
      <c r="D18" s="14" t="s">
        <v>38</v>
      </c>
      <c r="E18" s="14">
        <v>0.06</v>
      </c>
      <c r="F18" s="14" t="s">
        <v>39</v>
      </c>
      <c r="G18" s="17" t="s">
        <v>10</v>
      </c>
      <c r="H18" s="14" t="s">
        <v>48</v>
      </c>
      <c r="I18" s="14" t="s">
        <v>69</v>
      </c>
      <c r="J18" s="14" t="s">
        <v>46</v>
      </c>
      <c r="K18" s="14" t="s">
        <v>21</v>
      </c>
    </row>
    <row r="19" spans="1:11" ht="28.8" x14ac:dyDescent="0.3">
      <c r="A19" s="14">
        <v>18</v>
      </c>
      <c r="B19" s="14" t="s">
        <v>67</v>
      </c>
      <c r="C19" s="14" t="s">
        <v>73</v>
      </c>
      <c r="D19" s="14" t="s">
        <v>38</v>
      </c>
      <c r="E19" s="14">
        <v>0.05</v>
      </c>
      <c r="F19" s="14" t="s">
        <v>39</v>
      </c>
      <c r="G19" s="17" t="s">
        <v>10</v>
      </c>
      <c r="H19" s="14" t="s">
        <v>48</v>
      </c>
      <c r="I19" s="14" t="s">
        <v>69</v>
      </c>
      <c r="J19" s="14" t="s">
        <v>46</v>
      </c>
      <c r="K19" s="14" t="s">
        <v>21</v>
      </c>
    </row>
    <row r="20" spans="1:11" ht="28.8" x14ac:dyDescent="0.3">
      <c r="A20" s="14">
        <v>19</v>
      </c>
      <c r="B20" s="14" t="s">
        <v>67</v>
      </c>
      <c r="C20" s="14" t="s">
        <v>74</v>
      </c>
      <c r="D20" s="14" t="s">
        <v>38</v>
      </c>
      <c r="E20" s="14">
        <v>74.47</v>
      </c>
      <c r="F20" s="14" t="s">
        <v>64</v>
      </c>
      <c r="G20" s="18" t="s">
        <v>6</v>
      </c>
      <c r="H20" s="14" t="s">
        <v>65</v>
      </c>
      <c r="I20" s="14" t="s">
        <v>75</v>
      </c>
      <c r="J20" s="14" t="s">
        <v>46</v>
      </c>
      <c r="K20" s="14" t="s">
        <v>22</v>
      </c>
    </row>
    <row r="21" spans="1:11" ht="28.8" x14ac:dyDescent="0.3">
      <c r="A21" s="14">
        <v>20</v>
      </c>
      <c r="B21" s="14" t="s">
        <v>67</v>
      </c>
      <c r="C21" s="14" t="s">
        <v>76</v>
      </c>
      <c r="D21" s="14" t="s">
        <v>38</v>
      </c>
      <c r="E21" s="14">
        <v>102.4</v>
      </c>
      <c r="F21" s="14" t="s">
        <v>64</v>
      </c>
      <c r="G21" s="18" t="s">
        <v>6</v>
      </c>
      <c r="H21" s="14" t="s">
        <v>65</v>
      </c>
      <c r="I21" s="14" t="s">
        <v>77</v>
      </c>
      <c r="J21" s="14" t="s">
        <v>46</v>
      </c>
      <c r="K21" s="14" t="s">
        <v>22</v>
      </c>
    </row>
    <row r="22" spans="1:11" ht="43.2" x14ac:dyDescent="0.3">
      <c r="A22" s="14">
        <v>21</v>
      </c>
      <c r="B22" s="14" t="s">
        <v>78</v>
      </c>
      <c r="C22" s="14" t="s">
        <v>79</v>
      </c>
      <c r="D22" s="14" t="s">
        <v>38</v>
      </c>
      <c r="E22" s="14">
        <v>12.188000000000001</v>
      </c>
      <c r="F22" s="14" t="s">
        <v>64</v>
      </c>
      <c r="G22" s="19" t="s">
        <v>18</v>
      </c>
      <c r="H22" s="14" t="s">
        <v>80</v>
      </c>
      <c r="I22" s="14" t="s">
        <v>81</v>
      </c>
      <c r="J22" s="14" t="s">
        <v>46</v>
      </c>
      <c r="K22" s="14" t="s">
        <v>21</v>
      </c>
    </row>
    <row r="23" spans="1:11" ht="43.2" x14ac:dyDescent="0.3">
      <c r="A23" s="14">
        <v>22</v>
      </c>
      <c r="B23" s="14" t="s">
        <v>78</v>
      </c>
      <c r="C23" s="14" t="s">
        <v>82</v>
      </c>
      <c r="D23" s="14" t="s">
        <v>38</v>
      </c>
      <c r="E23" s="14">
        <v>8.9999999999999993E-3</v>
      </c>
      <c r="F23" s="14" t="s">
        <v>39</v>
      </c>
      <c r="G23" s="17" t="s">
        <v>10</v>
      </c>
      <c r="H23" s="14" t="s">
        <v>48</v>
      </c>
      <c r="I23" s="14" t="s">
        <v>83</v>
      </c>
      <c r="J23" s="14" t="s">
        <v>46</v>
      </c>
      <c r="K23" s="20" t="s">
        <v>23</v>
      </c>
    </row>
    <row r="24" spans="1:11" ht="43.2" x14ac:dyDescent="0.3">
      <c r="A24" s="14">
        <v>23</v>
      </c>
      <c r="B24" s="14" t="s">
        <v>78</v>
      </c>
      <c r="C24" s="14" t="s">
        <v>84</v>
      </c>
      <c r="D24" s="14" t="s">
        <v>38</v>
      </c>
      <c r="E24" s="14">
        <v>8.9999999999999993E-3</v>
      </c>
      <c r="F24" s="14" t="s">
        <v>39</v>
      </c>
      <c r="G24" s="17" t="s">
        <v>10</v>
      </c>
      <c r="H24" s="14" t="s">
        <v>48</v>
      </c>
      <c r="I24" s="14" t="s">
        <v>83</v>
      </c>
      <c r="J24" s="14" t="s">
        <v>46</v>
      </c>
      <c r="K24" s="20" t="s">
        <v>23</v>
      </c>
    </row>
    <row r="25" spans="1:11" ht="43.2" x14ac:dyDescent="0.3">
      <c r="A25" s="14">
        <v>24</v>
      </c>
      <c r="B25" s="14" t="s">
        <v>78</v>
      </c>
      <c r="C25" s="14" t="s">
        <v>85</v>
      </c>
      <c r="D25" s="14" t="s">
        <v>38</v>
      </c>
      <c r="E25" s="14">
        <v>8.9999999999999993E-3</v>
      </c>
      <c r="F25" s="14" t="s">
        <v>39</v>
      </c>
      <c r="G25" s="17" t="s">
        <v>10</v>
      </c>
      <c r="H25" s="14" t="s">
        <v>48</v>
      </c>
      <c r="I25" s="14" t="s">
        <v>83</v>
      </c>
      <c r="J25" s="14" t="s">
        <v>46</v>
      </c>
      <c r="K25" s="20" t="s">
        <v>23</v>
      </c>
    </row>
    <row r="26" spans="1:11" ht="43.2" x14ac:dyDescent="0.3">
      <c r="A26" s="14">
        <v>25</v>
      </c>
      <c r="B26" s="14" t="s">
        <v>78</v>
      </c>
      <c r="C26" s="14" t="s">
        <v>86</v>
      </c>
      <c r="D26" s="14" t="s">
        <v>38</v>
      </c>
      <c r="E26" s="14">
        <v>0</v>
      </c>
      <c r="F26" s="14" t="s">
        <v>39</v>
      </c>
      <c r="G26" s="17" t="s">
        <v>10</v>
      </c>
      <c r="H26" s="14" t="s">
        <v>48</v>
      </c>
      <c r="I26" s="14" t="s">
        <v>83</v>
      </c>
      <c r="J26" s="14" t="s">
        <v>46</v>
      </c>
      <c r="K26" s="20" t="s">
        <v>23</v>
      </c>
    </row>
    <row r="27" spans="1:11" ht="43.2" x14ac:dyDescent="0.3">
      <c r="A27" s="14">
        <v>26</v>
      </c>
      <c r="B27" s="14" t="s">
        <v>78</v>
      </c>
      <c r="C27" s="14" t="s">
        <v>87</v>
      </c>
      <c r="D27" s="14" t="s">
        <v>38</v>
      </c>
      <c r="E27" s="14">
        <v>8.5099999999999995E-2</v>
      </c>
      <c r="F27" s="14" t="s">
        <v>39</v>
      </c>
      <c r="G27" s="17" t="s">
        <v>10</v>
      </c>
      <c r="H27" s="14" t="s">
        <v>48</v>
      </c>
      <c r="I27" s="14" t="s">
        <v>83</v>
      </c>
      <c r="J27" s="14" t="s">
        <v>46</v>
      </c>
      <c r="K27" s="20" t="s">
        <v>23</v>
      </c>
    </row>
    <row r="28" spans="1:11" ht="43.2" x14ac:dyDescent="0.3">
      <c r="A28" s="14">
        <v>27</v>
      </c>
      <c r="B28" s="14" t="s">
        <v>78</v>
      </c>
      <c r="C28" s="14" t="s">
        <v>88</v>
      </c>
      <c r="D28" s="14" t="s">
        <v>38</v>
      </c>
      <c r="E28" s="14">
        <v>0</v>
      </c>
      <c r="F28" s="14" t="s">
        <v>39</v>
      </c>
      <c r="G28" s="17" t="s">
        <v>10</v>
      </c>
      <c r="H28" s="14" t="s">
        <v>48</v>
      </c>
      <c r="I28" s="14" t="s">
        <v>83</v>
      </c>
      <c r="J28" s="14" t="s">
        <v>46</v>
      </c>
      <c r="K28" s="20" t="s">
        <v>23</v>
      </c>
    </row>
    <row r="29" spans="1:11" ht="43.2" x14ac:dyDescent="0.3">
      <c r="A29" s="14">
        <v>28</v>
      </c>
      <c r="B29" s="14" t="s">
        <v>78</v>
      </c>
      <c r="C29" s="14" t="s">
        <v>89</v>
      </c>
      <c r="D29" s="14" t="s">
        <v>38</v>
      </c>
      <c r="E29" s="14">
        <v>0</v>
      </c>
      <c r="F29" s="14" t="s">
        <v>39</v>
      </c>
      <c r="G29" s="17" t="s">
        <v>10</v>
      </c>
      <c r="H29" s="14" t="s">
        <v>48</v>
      </c>
      <c r="I29" s="14" t="s">
        <v>83</v>
      </c>
      <c r="J29" s="14" t="s">
        <v>46</v>
      </c>
      <c r="K29" s="20" t="s">
        <v>23</v>
      </c>
    </row>
    <row r="30" spans="1:11" ht="43.2" x14ac:dyDescent="0.3">
      <c r="A30" s="14">
        <v>29</v>
      </c>
      <c r="B30" s="14" t="s">
        <v>78</v>
      </c>
      <c r="C30" s="14" t="s">
        <v>90</v>
      </c>
      <c r="D30" s="14" t="s">
        <v>38</v>
      </c>
      <c r="E30" s="14">
        <v>0</v>
      </c>
      <c r="F30" s="14" t="s">
        <v>39</v>
      </c>
      <c r="G30" s="17" t="s">
        <v>10</v>
      </c>
      <c r="H30" s="14" t="s">
        <v>48</v>
      </c>
      <c r="I30" s="14" t="s">
        <v>83</v>
      </c>
      <c r="J30" s="14" t="s">
        <v>46</v>
      </c>
      <c r="K30" s="20" t="s">
        <v>23</v>
      </c>
    </row>
    <row r="31" spans="1:11" ht="43.2" x14ac:dyDescent="0.3">
      <c r="A31" s="14">
        <v>30</v>
      </c>
      <c r="B31" s="14" t="s">
        <v>78</v>
      </c>
      <c r="C31" s="14" t="s">
        <v>91</v>
      </c>
      <c r="D31" s="14" t="s">
        <v>38</v>
      </c>
      <c r="E31" s="14">
        <v>0</v>
      </c>
      <c r="F31" s="14" t="s">
        <v>39</v>
      </c>
      <c r="G31" s="17" t="s">
        <v>10</v>
      </c>
      <c r="H31" s="14" t="s">
        <v>48</v>
      </c>
      <c r="I31" s="14" t="s">
        <v>83</v>
      </c>
      <c r="J31" s="14" t="s">
        <v>46</v>
      </c>
      <c r="K31" s="20" t="s">
        <v>23</v>
      </c>
    </row>
    <row r="32" spans="1:11" ht="43.2" x14ac:dyDescent="0.3">
      <c r="A32" s="14">
        <v>31</v>
      </c>
      <c r="B32" s="14" t="s">
        <v>78</v>
      </c>
      <c r="C32" s="14" t="s">
        <v>92</v>
      </c>
      <c r="D32" s="14" t="s">
        <v>38</v>
      </c>
      <c r="E32" s="14">
        <v>0.02</v>
      </c>
      <c r="F32" s="14" t="s">
        <v>39</v>
      </c>
      <c r="G32" s="17" t="s">
        <v>10</v>
      </c>
      <c r="H32" s="14" t="s">
        <v>48</v>
      </c>
      <c r="I32" s="14" t="s">
        <v>83</v>
      </c>
      <c r="J32" s="14" t="s">
        <v>46</v>
      </c>
      <c r="K32" s="20" t="s">
        <v>23</v>
      </c>
    </row>
    <row r="33" spans="1:11" ht="43.2" x14ac:dyDescent="0.3">
      <c r="A33" s="14">
        <v>32</v>
      </c>
      <c r="B33" s="14" t="s">
        <v>78</v>
      </c>
      <c r="C33" s="14" t="s">
        <v>93</v>
      </c>
      <c r="D33" s="14" t="s">
        <v>38</v>
      </c>
      <c r="E33" s="14">
        <v>0</v>
      </c>
      <c r="F33" s="14" t="s">
        <v>39</v>
      </c>
      <c r="G33" s="17" t="s">
        <v>10</v>
      </c>
      <c r="H33" s="14" t="s">
        <v>48</v>
      </c>
      <c r="I33" s="14" t="s">
        <v>83</v>
      </c>
      <c r="J33" s="14" t="s">
        <v>46</v>
      </c>
      <c r="K33" s="20" t="s">
        <v>23</v>
      </c>
    </row>
    <row r="34" spans="1:11" ht="43.2" x14ac:dyDescent="0.3">
      <c r="A34" s="14">
        <v>33</v>
      </c>
      <c r="B34" s="14" t="s">
        <v>78</v>
      </c>
      <c r="C34" s="14" t="s">
        <v>94</v>
      </c>
      <c r="D34" s="14" t="s">
        <v>38</v>
      </c>
      <c r="E34" s="14">
        <v>3.3999999999999998E-3</v>
      </c>
      <c r="F34" s="14" t="s">
        <v>39</v>
      </c>
      <c r="G34" s="17" t="s">
        <v>10</v>
      </c>
      <c r="H34" s="14" t="s">
        <v>48</v>
      </c>
      <c r="I34" s="14" t="s">
        <v>83</v>
      </c>
      <c r="J34" s="14" t="s">
        <v>46</v>
      </c>
      <c r="K34" s="20" t="s">
        <v>23</v>
      </c>
    </row>
    <row r="35" spans="1:11" ht="43.2" x14ac:dyDescent="0.3">
      <c r="A35" s="14">
        <v>34</v>
      </c>
      <c r="B35" s="14" t="s">
        <v>78</v>
      </c>
      <c r="C35" s="14" t="s">
        <v>95</v>
      </c>
      <c r="D35" s="14" t="s">
        <v>38</v>
      </c>
      <c r="E35" s="14">
        <v>0.05</v>
      </c>
      <c r="F35" s="14" t="s">
        <v>39</v>
      </c>
      <c r="G35" s="17" t="s">
        <v>10</v>
      </c>
      <c r="H35" s="14" t="s">
        <v>48</v>
      </c>
      <c r="I35" s="14" t="s">
        <v>83</v>
      </c>
      <c r="J35" s="14" t="s">
        <v>46</v>
      </c>
      <c r="K35" s="20" t="s">
        <v>23</v>
      </c>
    </row>
    <row r="36" spans="1:11" ht="43.2" x14ac:dyDescent="0.3">
      <c r="A36" s="14">
        <v>35</v>
      </c>
      <c r="B36" s="14" t="s">
        <v>78</v>
      </c>
      <c r="C36" s="14" t="s">
        <v>96</v>
      </c>
      <c r="D36" s="14" t="s">
        <v>38</v>
      </c>
      <c r="E36" s="14">
        <v>0.05</v>
      </c>
      <c r="F36" s="14" t="s">
        <v>39</v>
      </c>
      <c r="G36" s="17" t="s">
        <v>10</v>
      </c>
      <c r="H36" s="14" t="s">
        <v>48</v>
      </c>
      <c r="I36" s="14" t="s">
        <v>83</v>
      </c>
      <c r="J36" s="14" t="s">
        <v>46</v>
      </c>
      <c r="K36" s="20" t="s">
        <v>23</v>
      </c>
    </row>
    <row r="37" spans="1:11" ht="43.2" x14ac:dyDescent="0.3">
      <c r="A37" s="14">
        <v>36</v>
      </c>
      <c r="B37" s="14" t="s">
        <v>78</v>
      </c>
      <c r="C37" s="14" t="s">
        <v>97</v>
      </c>
      <c r="D37" s="14" t="s">
        <v>38</v>
      </c>
      <c r="E37" s="14">
        <v>0.05</v>
      </c>
      <c r="F37" s="14" t="s">
        <v>39</v>
      </c>
      <c r="G37" s="17" t="s">
        <v>10</v>
      </c>
      <c r="H37" s="14" t="s">
        <v>48</v>
      </c>
      <c r="I37" s="14" t="s">
        <v>83</v>
      </c>
      <c r="J37" s="14" t="s">
        <v>46</v>
      </c>
      <c r="K37" s="20" t="s">
        <v>23</v>
      </c>
    </row>
    <row r="38" spans="1:11" ht="28.8" x14ac:dyDescent="0.3">
      <c r="A38" s="14">
        <v>37</v>
      </c>
      <c r="B38" s="14" t="s">
        <v>78</v>
      </c>
      <c r="C38" s="14" t="s">
        <v>98</v>
      </c>
      <c r="D38" s="14" t="s">
        <v>38</v>
      </c>
      <c r="E38" s="14">
        <v>11.12</v>
      </c>
      <c r="F38" s="14" t="s">
        <v>64</v>
      </c>
      <c r="G38" s="18" t="s">
        <v>6</v>
      </c>
      <c r="H38" s="14" t="s">
        <v>65</v>
      </c>
      <c r="I38" s="14" t="s">
        <v>99</v>
      </c>
      <c r="J38" s="14" t="s">
        <v>46</v>
      </c>
      <c r="K38" s="14" t="s">
        <v>22</v>
      </c>
    </row>
    <row r="39" spans="1:11" ht="28.8" x14ac:dyDescent="0.3">
      <c r="A39" s="14">
        <v>38</v>
      </c>
      <c r="B39" s="14" t="s">
        <v>78</v>
      </c>
      <c r="C39" s="14" t="s">
        <v>100</v>
      </c>
      <c r="D39" s="14" t="s">
        <v>38</v>
      </c>
      <c r="E39" s="14">
        <v>15.67</v>
      </c>
      <c r="F39" s="14" t="s">
        <v>64</v>
      </c>
      <c r="G39" s="18" t="s">
        <v>6</v>
      </c>
      <c r="H39" s="14" t="s">
        <v>65</v>
      </c>
      <c r="I39" s="14" t="s">
        <v>101</v>
      </c>
      <c r="J39" s="14" t="s">
        <v>46</v>
      </c>
      <c r="K39" s="14" t="s">
        <v>22</v>
      </c>
    </row>
    <row r="40" spans="1:11" ht="28.8" x14ac:dyDescent="0.3">
      <c r="A40" s="14">
        <v>39</v>
      </c>
      <c r="B40" s="14" t="s">
        <v>78</v>
      </c>
      <c r="C40" s="14" t="s">
        <v>102</v>
      </c>
      <c r="D40" s="14" t="s">
        <v>38</v>
      </c>
      <c r="E40" s="14">
        <v>15.63</v>
      </c>
      <c r="F40" s="14" t="s">
        <v>64</v>
      </c>
      <c r="G40" s="18" t="s">
        <v>6</v>
      </c>
      <c r="H40" s="14" t="s">
        <v>65</v>
      </c>
      <c r="I40" s="14" t="s">
        <v>101</v>
      </c>
      <c r="J40" s="14" t="s">
        <v>46</v>
      </c>
      <c r="K40" s="14" t="s">
        <v>22</v>
      </c>
    </row>
    <row r="41" spans="1:11" ht="43.2" x14ac:dyDescent="0.3">
      <c r="A41" s="14">
        <v>40</v>
      </c>
      <c r="B41" s="14" t="s">
        <v>78</v>
      </c>
      <c r="C41" s="14" t="s">
        <v>103</v>
      </c>
      <c r="D41" s="14" t="s">
        <v>38</v>
      </c>
      <c r="E41" s="14">
        <v>-0.25600000000000001</v>
      </c>
      <c r="F41" s="14" t="s">
        <v>64</v>
      </c>
      <c r="G41" s="19" t="s">
        <v>18</v>
      </c>
      <c r="H41" s="14" t="s">
        <v>80</v>
      </c>
      <c r="I41" s="14" t="s">
        <v>81</v>
      </c>
      <c r="J41" s="14" t="s">
        <v>46</v>
      </c>
      <c r="K41" s="14" t="s">
        <v>21</v>
      </c>
    </row>
    <row r="42" spans="1:11" ht="28.8" x14ac:dyDescent="0.3">
      <c r="A42" s="14">
        <v>41</v>
      </c>
      <c r="B42" s="14" t="s">
        <v>104</v>
      </c>
      <c r="C42" s="14" t="s">
        <v>105</v>
      </c>
      <c r="D42" s="14" t="s">
        <v>38</v>
      </c>
      <c r="E42" s="14">
        <v>0</v>
      </c>
      <c r="F42" s="14" t="s">
        <v>39</v>
      </c>
      <c r="G42" s="17" t="s">
        <v>10</v>
      </c>
      <c r="H42" s="14" t="s">
        <v>48</v>
      </c>
      <c r="I42" s="14" t="s">
        <v>106</v>
      </c>
      <c r="J42" s="14" t="s">
        <v>46</v>
      </c>
      <c r="K42" s="14" t="s">
        <v>21</v>
      </c>
    </row>
    <row r="43" spans="1:11" ht="28.8" x14ac:dyDescent="0.3">
      <c r="A43" s="14">
        <v>42</v>
      </c>
      <c r="B43" s="14" t="s">
        <v>104</v>
      </c>
      <c r="C43" s="14" t="s">
        <v>107</v>
      </c>
      <c r="D43" s="14" t="s">
        <v>38</v>
      </c>
      <c r="E43" s="14">
        <v>0</v>
      </c>
      <c r="F43" s="14" t="s">
        <v>39</v>
      </c>
      <c r="G43" s="17" t="s">
        <v>10</v>
      </c>
      <c r="H43" s="14" t="s">
        <v>48</v>
      </c>
      <c r="I43" s="14" t="s">
        <v>106</v>
      </c>
      <c r="J43" s="14" t="s">
        <v>46</v>
      </c>
      <c r="K43" s="14" t="s">
        <v>21</v>
      </c>
    </row>
    <row r="44" spans="1:11" ht="28.8" x14ac:dyDescent="0.3">
      <c r="A44" s="14">
        <v>43</v>
      </c>
      <c r="B44" s="14" t="s">
        <v>104</v>
      </c>
      <c r="C44" s="14" t="s">
        <v>108</v>
      </c>
      <c r="D44" s="14" t="s">
        <v>38</v>
      </c>
      <c r="E44" s="14">
        <v>0</v>
      </c>
      <c r="F44" s="14" t="s">
        <v>39</v>
      </c>
      <c r="G44" s="17" t="s">
        <v>10</v>
      </c>
      <c r="H44" s="14" t="s">
        <v>48</v>
      </c>
      <c r="I44" s="14" t="s">
        <v>106</v>
      </c>
      <c r="J44" s="14" t="s">
        <v>46</v>
      </c>
      <c r="K44" s="14" t="s">
        <v>21</v>
      </c>
    </row>
    <row r="45" spans="1:11" ht="28.8" x14ac:dyDescent="0.3">
      <c r="A45" s="14">
        <v>44</v>
      </c>
      <c r="B45" s="14" t="s">
        <v>104</v>
      </c>
      <c r="C45" s="14" t="s">
        <v>109</v>
      </c>
      <c r="D45" s="14" t="s">
        <v>38</v>
      </c>
      <c r="E45" s="14">
        <v>0</v>
      </c>
      <c r="F45" s="14" t="s">
        <v>39</v>
      </c>
      <c r="G45" s="17" t="s">
        <v>10</v>
      </c>
      <c r="H45" s="14" t="s">
        <v>48</v>
      </c>
      <c r="I45" s="14" t="s">
        <v>106</v>
      </c>
      <c r="J45" s="14" t="s">
        <v>46</v>
      </c>
      <c r="K45" s="14" t="s">
        <v>21</v>
      </c>
    </row>
    <row r="46" spans="1:11" ht="28.8" x14ac:dyDescent="0.3">
      <c r="A46" s="14">
        <v>45</v>
      </c>
      <c r="B46" s="14" t="s">
        <v>104</v>
      </c>
      <c r="C46" s="14" t="s">
        <v>110</v>
      </c>
      <c r="D46" s="14" t="s">
        <v>38</v>
      </c>
      <c r="E46" s="14">
        <v>0</v>
      </c>
      <c r="F46" s="14" t="s">
        <v>39</v>
      </c>
      <c r="G46" s="17" t="s">
        <v>10</v>
      </c>
      <c r="H46" s="14" t="s">
        <v>48</v>
      </c>
      <c r="I46" s="14" t="s">
        <v>106</v>
      </c>
      <c r="J46" s="14" t="s">
        <v>46</v>
      </c>
      <c r="K46" s="14" t="s">
        <v>21</v>
      </c>
    </row>
    <row r="47" spans="1:11" ht="28.8" x14ac:dyDescent="0.3">
      <c r="A47" s="14">
        <v>46</v>
      </c>
      <c r="B47" s="14" t="s">
        <v>104</v>
      </c>
      <c r="C47" s="14" t="s">
        <v>111</v>
      </c>
      <c r="D47" s="14" t="s">
        <v>38</v>
      </c>
      <c r="E47" s="14">
        <v>0</v>
      </c>
      <c r="F47" s="14" t="s">
        <v>39</v>
      </c>
      <c r="G47" s="17" t="s">
        <v>10</v>
      </c>
      <c r="H47" s="14" t="s">
        <v>48</v>
      </c>
      <c r="I47" s="14" t="s">
        <v>106</v>
      </c>
      <c r="J47" s="14" t="s">
        <v>46</v>
      </c>
      <c r="K47" s="14" t="s">
        <v>21</v>
      </c>
    </row>
    <row r="48" spans="1:11" ht="28.8" x14ac:dyDescent="0.3">
      <c r="A48" s="14">
        <v>47</v>
      </c>
      <c r="B48" s="14" t="s">
        <v>104</v>
      </c>
      <c r="C48" s="14" t="s">
        <v>112</v>
      </c>
      <c r="D48" s="14" t="s">
        <v>38</v>
      </c>
      <c r="E48" s="14">
        <v>0.02</v>
      </c>
      <c r="F48" s="14" t="s">
        <v>39</v>
      </c>
      <c r="G48" s="17" t="s">
        <v>10</v>
      </c>
      <c r="H48" s="14" t="s">
        <v>48</v>
      </c>
      <c r="I48" s="14" t="s">
        <v>106</v>
      </c>
      <c r="J48" s="14" t="s">
        <v>46</v>
      </c>
      <c r="K48" s="14" t="s">
        <v>21</v>
      </c>
    </row>
    <row r="49" spans="1:11" ht="28.8" x14ac:dyDescent="0.3">
      <c r="A49" s="14">
        <v>48</v>
      </c>
      <c r="B49" s="14" t="s">
        <v>104</v>
      </c>
      <c r="C49" s="14" t="s">
        <v>113</v>
      </c>
      <c r="D49" s="14" t="s">
        <v>38</v>
      </c>
      <c r="E49" s="14">
        <v>0.02</v>
      </c>
      <c r="F49" s="14" t="s">
        <v>39</v>
      </c>
      <c r="G49" s="17" t="s">
        <v>10</v>
      </c>
      <c r="H49" s="14" t="s">
        <v>48</v>
      </c>
      <c r="I49" s="14" t="s">
        <v>106</v>
      </c>
      <c r="J49" s="14" t="s">
        <v>46</v>
      </c>
      <c r="K49" s="14" t="s">
        <v>21</v>
      </c>
    </row>
    <row r="50" spans="1:11" ht="28.8" x14ac:dyDescent="0.3">
      <c r="A50" s="14">
        <v>49</v>
      </c>
      <c r="B50" s="14" t="s">
        <v>104</v>
      </c>
      <c r="C50" s="14" t="s">
        <v>114</v>
      </c>
      <c r="D50" s="14" t="s">
        <v>38</v>
      </c>
      <c r="E50" s="14">
        <v>6.0299999999999999E-2</v>
      </c>
      <c r="F50" s="14" t="s">
        <v>39</v>
      </c>
      <c r="G50" s="17" t="s">
        <v>10</v>
      </c>
      <c r="H50" s="14" t="s">
        <v>48</v>
      </c>
      <c r="I50" s="14" t="s">
        <v>106</v>
      </c>
      <c r="J50" s="14" t="s">
        <v>46</v>
      </c>
      <c r="K50" s="14" t="s">
        <v>21</v>
      </c>
    </row>
    <row r="51" spans="1:11" ht="28.8" x14ac:dyDescent="0.3">
      <c r="A51" s="14">
        <v>50</v>
      </c>
      <c r="B51" s="14" t="s">
        <v>104</v>
      </c>
      <c r="C51" s="14" t="s">
        <v>115</v>
      </c>
      <c r="D51" s="14" t="s">
        <v>38</v>
      </c>
      <c r="E51" s="14">
        <v>2.1299999999999999E-2</v>
      </c>
      <c r="F51" s="14" t="s">
        <v>39</v>
      </c>
      <c r="G51" s="17" t="s">
        <v>10</v>
      </c>
      <c r="H51" s="14" t="s">
        <v>48</v>
      </c>
      <c r="I51" s="14" t="s">
        <v>106</v>
      </c>
      <c r="J51" s="14" t="s">
        <v>46</v>
      </c>
      <c r="K51" s="14" t="s">
        <v>21</v>
      </c>
    </row>
    <row r="52" spans="1:11" ht="28.8" x14ac:dyDescent="0.3">
      <c r="A52" s="14">
        <v>51</v>
      </c>
      <c r="B52" s="14" t="s">
        <v>104</v>
      </c>
      <c r="C52" s="14" t="s">
        <v>116</v>
      </c>
      <c r="D52" s="14" t="s">
        <v>38</v>
      </c>
      <c r="E52" s="14">
        <v>213.86</v>
      </c>
      <c r="F52" s="14" t="s">
        <v>64</v>
      </c>
      <c r="G52" s="18" t="s">
        <v>6</v>
      </c>
      <c r="H52" s="14" t="s">
        <v>65</v>
      </c>
      <c r="I52" s="14" t="s">
        <v>101</v>
      </c>
      <c r="J52" s="14" t="s">
        <v>46</v>
      </c>
      <c r="K52" s="14" t="s">
        <v>22</v>
      </c>
    </row>
    <row r="53" spans="1:11" ht="28.8" x14ac:dyDescent="0.3">
      <c r="A53" s="14">
        <v>52</v>
      </c>
      <c r="B53" s="14" t="s">
        <v>104</v>
      </c>
      <c r="C53" s="14" t="s">
        <v>117</v>
      </c>
      <c r="D53" s="14" t="s">
        <v>38</v>
      </c>
      <c r="E53" s="14">
        <v>287.61</v>
      </c>
      <c r="F53" s="14" t="s">
        <v>64</v>
      </c>
      <c r="G53" s="18" t="s">
        <v>6</v>
      </c>
      <c r="H53" s="14" t="s">
        <v>65</v>
      </c>
      <c r="I53" s="14" t="s">
        <v>101</v>
      </c>
      <c r="J53" s="14" t="s">
        <v>46</v>
      </c>
      <c r="K53" s="14" t="s">
        <v>22</v>
      </c>
    </row>
    <row r="54" spans="1:11" ht="28.8" x14ac:dyDescent="0.3">
      <c r="A54" s="14">
        <v>53</v>
      </c>
      <c r="B54" s="14" t="s">
        <v>118</v>
      </c>
      <c r="C54" s="14" t="s">
        <v>119</v>
      </c>
      <c r="D54" s="14" t="s">
        <v>120</v>
      </c>
      <c r="E54" s="14" t="s">
        <v>121</v>
      </c>
      <c r="F54" s="14" t="s">
        <v>122</v>
      </c>
      <c r="G54" s="19" t="s">
        <v>18</v>
      </c>
      <c r="H54" s="14" t="s">
        <v>123</v>
      </c>
      <c r="I54" s="14" t="s">
        <v>124</v>
      </c>
      <c r="J54" s="14" t="s">
        <v>125</v>
      </c>
      <c r="K54" s="14" t="s">
        <v>21</v>
      </c>
    </row>
    <row r="55" spans="1:11" ht="28.8" x14ac:dyDescent="0.3">
      <c r="A55" s="14">
        <v>54</v>
      </c>
      <c r="B55" s="14" t="s">
        <v>118</v>
      </c>
      <c r="C55" s="14" t="s">
        <v>126</v>
      </c>
      <c r="D55" s="14" t="s">
        <v>38</v>
      </c>
      <c r="E55" s="14">
        <v>353211000000</v>
      </c>
      <c r="F55" s="14" t="s">
        <v>127</v>
      </c>
      <c r="G55" s="21" t="s">
        <v>4</v>
      </c>
      <c r="H55" s="14" t="s">
        <v>128</v>
      </c>
      <c r="I55" s="14" t="s">
        <v>129</v>
      </c>
      <c r="J55" s="14" t="s">
        <v>130</v>
      </c>
      <c r="K55" s="14" t="s">
        <v>21</v>
      </c>
    </row>
    <row r="56" spans="1:11" ht="28.8" x14ac:dyDescent="0.3">
      <c r="A56" s="14">
        <v>55</v>
      </c>
      <c r="B56" s="14" t="s">
        <v>118</v>
      </c>
      <c r="C56" s="14" t="s">
        <v>131</v>
      </c>
      <c r="D56" s="14" t="s">
        <v>38</v>
      </c>
      <c r="E56" s="14">
        <v>0.05</v>
      </c>
      <c r="F56" s="14" t="s">
        <v>39</v>
      </c>
      <c r="G56" s="16" t="s">
        <v>12</v>
      </c>
      <c r="H56" s="14" t="s">
        <v>44</v>
      </c>
      <c r="I56" s="14" t="s">
        <v>132</v>
      </c>
      <c r="J56" s="14" t="s">
        <v>133</v>
      </c>
      <c r="K56" s="14" t="s">
        <v>21</v>
      </c>
    </row>
    <row r="57" spans="1:11" ht="28.8" x14ac:dyDescent="0.3">
      <c r="A57" s="14">
        <v>56</v>
      </c>
      <c r="B57" s="14" t="s">
        <v>118</v>
      </c>
      <c r="C57" s="14" t="s">
        <v>134</v>
      </c>
      <c r="D57" s="14" t="s">
        <v>38</v>
      </c>
      <c r="E57" s="14">
        <v>365</v>
      </c>
      <c r="F57" s="14" t="s">
        <v>135</v>
      </c>
      <c r="G57" s="22" t="s">
        <v>14</v>
      </c>
      <c r="H57" s="14" t="s">
        <v>46</v>
      </c>
      <c r="I57" s="14" t="s">
        <v>136</v>
      </c>
      <c r="J57" s="14" t="s">
        <v>46</v>
      </c>
      <c r="K57" s="14" t="s">
        <v>21</v>
      </c>
    </row>
    <row r="58" spans="1:11" ht="28.8" x14ac:dyDescent="0.3">
      <c r="A58" s="14">
        <v>57</v>
      </c>
      <c r="B58" s="14" t="s">
        <v>118</v>
      </c>
      <c r="C58" s="14" t="s">
        <v>137</v>
      </c>
      <c r="D58" s="14" t="s">
        <v>38</v>
      </c>
      <c r="E58" s="14">
        <v>100</v>
      </c>
      <c r="F58" s="14" t="s">
        <v>39</v>
      </c>
      <c r="G58" s="21" t="s">
        <v>4</v>
      </c>
      <c r="H58" s="14" t="s">
        <v>138</v>
      </c>
      <c r="I58" s="14" t="s">
        <v>139</v>
      </c>
      <c r="J58" s="14" t="s">
        <v>46</v>
      </c>
      <c r="K58" s="14" t="s">
        <v>21</v>
      </c>
    </row>
    <row r="59" spans="1:11" ht="43.2" x14ac:dyDescent="0.3">
      <c r="A59" s="14">
        <v>58</v>
      </c>
      <c r="B59" s="14" t="s">
        <v>118</v>
      </c>
      <c r="C59" s="14" t="s">
        <v>140</v>
      </c>
      <c r="D59" s="14" t="s">
        <v>38</v>
      </c>
      <c r="E59" s="14">
        <v>-10.846</v>
      </c>
      <c r="F59" s="14" t="s">
        <v>64</v>
      </c>
      <c r="G59" s="19" t="s">
        <v>18</v>
      </c>
      <c r="H59" s="14" t="s">
        <v>80</v>
      </c>
      <c r="I59" s="14" t="s">
        <v>81</v>
      </c>
      <c r="J59" s="14" t="s">
        <v>46</v>
      </c>
      <c r="K59" s="14" t="s">
        <v>21</v>
      </c>
    </row>
    <row r="60" spans="1:11" ht="43.2" x14ac:dyDescent="0.3">
      <c r="A60" s="14">
        <v>59</v>
      </c>
      <c r="B60" s="14" t="s">
        <v>118</v>
      </c>
      <c r="C60" s="14" t="s">
        <v>141</v>
      </c>
      <c r="D60" s="14" t="s">
        <v>38</v>
      </c>
      <c r="E60" s="14">
        <v>-10.54</v>
      </c>
      <c r="F60" s="14" t="s">
        <v>64</v>
      </c>
      <c r="G60" s="19" t="s">
        <v>18</v>
      </c>
      <c r="H60" s="14" t="s">
        <v>80</v>
      </c>
      <c r="I60" s="14" t="s">
        <v>81</v>
      </c>
      <c r="J60" s="14" t="s">
        <v>46</v>
      </c>
      <c r="K60" s="14" t="s">
        <v>21</v>
      </c>
    </row>
    <row r="61" spans="1:11" ht="28.8" x14ac:dyDescent="0.3">
      <c r="A61" s="14">
        <v>60</v>
      </c>
      <c r="B61" s="14" t="s">
        <v>118</v>
      </c>
      <c r="C61" s="14" t="s">
        <v>142</v>
      </c>
      <c r="D61" s="14" t="s">
        <v>38</v>
      </c>
      <c r="E61" s="14">
        <v>1000</v>
      </c>
      <c r="F61" s="14" t="s">
        <v>143</v>
      </c>
      <c r="G61" s="22" t="s">
        <v>14</v>
      </c>
      <c r="H61" s="14" t="s">
        <v>46</v>
      </c>
      <c r="I61" s="14" t="s">
        <v>144</v>
      </c>
      <c r="J61" s="14" t="s">
        <v>46</v>
      </c>
      <c r="K61" s="14" t="s">
        <v>21</v>
      </c>
    </row>
    <row r="62" spans="1:11" ht="28.8" x14ac:dyDescent="0.3">
      <c r="A62" s="14">
        <v>61</v>
      </c>
      <c r="B62" s="14" t="s">
        <v>118</v>
      </c>
      <c r="C62" s="14" t="s">
        <v>145</v>
      </c>
      <c r="D62" s="14" t="s">
        <v>38</v>
      </c>
      <c r="E62" s="14">
        <v>1000</v>
      </c>
      <c r="F62" s="14" t="s">
        <v>146</v>
      </c>
      <c r="G62" s="22" t="s">
        <v>14</v>
      </c>
      <c r="H62" s="14" t="s">
        <v>46</v>
      </c>
      <c r="I62" s="14" t="s">
        <v>144</v>
      </c>
      <c r="J62" s="14" t="s">
        <v>46</v>
      </c>
      <c r="K62" s="14" t="s">
        <v>21</v>
      </c>
    </row>
    <row r="63" spans="1:11" ht="28.8" x14ac:dyDescent="0.3">
      <c r="A63" s="14">
        <v>62</v>
      </c>
      <c r="B63" s="14" t="s">
        <v>118</v>
      </c>
      <c r="C63" s="14" t="s">
        <v>147</v>
      </c>
      <c r="D63" s="14" t="s">
        <v>38</v>
      </c>
      <c r="E63" s="14">
        <v>10</v>
      </c>
      <c r="F63" s="14" t="s">
        <v>148</v>
      </c>
      <c r="G63" s="22" t="s">
        <v>14</v>
      </c>
      <c r="H63" s="14" t="s">
        <v>46</v>
      </c>
      <c r="I63" s="14" t="s">
        <v>144</v>
      </c>
      <c r="J63" s="14" t="s">
        <v>46</v>
      </c>
      <c r="K63" s="14" t="s">
        <v>21</v>
      </c>
    </row>
    <row r="64" spans="1:11" ht="28.8" x14ac:dyDescent="0.3">
      <c r="A64" s="14">
        <v>63</v>
      </c>
      <c r="B64" s="14" t="s">
        <v>118</v>
      </c>
      <c r="C64" s="14" t="s">
        <v>149</v>
      </c>
      <c r="D64" s="14" t="s">
        <v>38</v>
      </c>
      <c r="E64" s="14">
        <v>1</v>
      </c>
      <c r="F64" s="14" t="s">
        <v>150</v>
      </c>
      <c r="G64" s="22" t="s">
        <v>14</v>
      </c>
      <c r="H64" s="14" t="s">
        <v>46</v>
      </c>
      <c r="I64" s="14" t="s">
        <v>144</v>
      </c>
      <c r="J64" s="14" t="s">
        <v>46</v>
      </c>
      <c r="K64" s="14" t="s">
        <v>21</v>
      </c>
    </row>
    <row r="65" spans="1:11" ht="28.8" x14ac:dyDescent="0.3">
      <c r="A65" s="14">
        <v>64</v>
      </c>
      <c r="B65" s="14" t="s">
        <v>118</v>
      </c>
      <c r="C65" s="14" t="s">
        <v>151</v>
      </c>
      <c r="D65" s="14" t="s">
        <v>38</v>
      </c>
      <c r="E65" s="14">
        <v>1</v>
      </c>
      <c r="F65" s="14" t="s">
        <v>150</v>
      </c>
      <c r="G65" s="16" t="s">
        <v>12</v>
      </c>
      <c r="H65" s="14" t="s">
        <v>44</v>
      </c>
      <c r="I65" s="14" t="s">
        <v>152</v>
      </c>
      <c r="J65" s="14" t="s">
        <v>153</v>
      </c>
      <c r="K65" s="14" t="s">
        <v>21</v>
      </c>
    </row>
    <row r="66" spans="1:11" ht="43.2" x14ac:dyDescent="0.3">
      <c r="A66" s="14">
        <v>65</v>
      </c>
      <c r="B66" s="14" t="s">
        <v>36</v>
      </c>
      <c r="C66" s="14" t="s">
        <v>24</v>
      </c>
      <c r="D66" s="14" t="s">
        <v>38</v>
      </c>
      <c r="E66" s="14">
        <v>0.97777000000000003</v>
      </c>
      <c r="F66" s="14" t="s">
        <v>122</v>
      </c>
      <c r="G66" s="18" t="s">
        <v>6</v>
      </c>
      <c r="H66" s="14" t="s">
        <v>65</v>
      </c>
      <c r="I66" s="14" t="s">
        <v>154</v>
      </c>
      <c r="J66" s="14" t="s">
        <v>155</v>
      </c>
      <c r="K66" s="20" t="s">
        <v>23</v>
      </c>
    </row>
    <row r="67" spans="1:11" x14ac:dyDescent="0.3">
      <c r="A67" s="14">
        <v>66</v>
      </c>
      <c r="B67" s="14" t="s">
        <v>36</v>
      </c>
      <c r="C67" s="14" t="s">
        <v>156</v>
      </c>
      <c r="D67" s="14" t="s">
        <v>38</v>
      </c>
      <c r="E67" s="14">
        <v>723636</v>
      </c>
      <c r="F67" s="14" t="s">
        <v>157</v>
      </c>
      <c r="G67" s="21" t="s">
        <v>4</v>
      </c>
      <c r="H67" s="14" t="s">
        <v>158</v>
      </c>
      <c r="I67" s="14" t="s">
        <v>159</v>
      </c>
      <c r="J67" s="14" t="s">
        <v>46</v>
      </c>
      <c r="K67" s="14" t="s">
        <v>21</v>
      </c>
    </row>
    <row r="68" spans="1:11" ht="28.8" x14ac:dyDescent="0.3">
      <c r="A68" s="14">
        <v>67</v>
      </c>
      <c r="B68" s="14" t="s">
        <v>67</v>
      </c>
      <c r="C68" s="14" t="s">
        <v>160</v>
      </c>
      <c r="D68" s="14" t="s">
        <v>120</v>
      </c>
      <c r="E68" s="14" t="s">
        <v>121</v>
      </c>
      <c r="F68" s="14" t="s">
        <v>122</v>
      </c>
      <c r="G68" s="18" t="s">
        <v>6</v>
      </c>
      <c r="H68" s="14" t="s">
        <v>65</v>
      </c>
      <c r="I68" s="14" t="s">
        <v>161</v>
      </c>
      <c r="J68" s="14" t="s">
        <v>162</v>
      </c>
      <c r="K68" s="14" t="s">
        <v>21</v>
      </c>
    </row>
    <row r="69" spans="1:11" ht="28.8" x14ac:dyDescent="0.3">
      <c r="A69" s="14">
        <v>68</v>
      </c>
      <c r="B69" s="14" t="s">
        <v>78</v>
      </c>
      <c r="C69" s="14" t="s">
        <v>163</v>
      </c>
      <c r="D69" s="14" t="s">
        <v>120</v>
      </c>
      <c r="E69" s="14" t="s">
        <v>121</v>
      </c>
      <c r="F69" s="14" t="s">
        <v>122</v>
      </c>
      <c r="G69" s="18" t="s">
        <v>6</v>
      </c>
      <c r="H69" s="14" t="s">
        <v>65</v>
      </c>
      <c r="I69" s="14" t="s">
        <v>161</v>
      </c>
      <c r="J69" s="14" t="s">
        <v>162</v>
      </c>
      <c r="K69" s="14" t="s">
        <v>21</v>
      </c>
    </row>
    <row r="70" spans="1:11" ht="28.8" x14ac:dyDescent="0.3">
      <c r="A70" s="14">
        <v>69</v>
      </c>
      <c r="B70" s="14" t="s">
        <v>78</v>
      </c>
      <c r="C70" s="14" t="s">
        <v>164</v>
      </c>
      <c r="D70" s="14" t="s">
        <v>120</v>
      </c>
      <c r="E70" s="14" t="s">
        <v>121</v>
      </c>
      <c r="F70" s="14" t="s">
        <v>122</v>
      </c>
      <c r="G70" s="18" t="s">
        <v>6</v>
      </c>
      <c r="H70" s="14" t="s">
        <v>65</v>
      </c>
      <c r="I70" s="14" t="s">
        <v>161</v>
      </c>
      <c r="J70" s="14" t="s">
        <v>162</v>
      </c>
      <c r="K70" s="14" t="s">
        <v>21</v>
      </c>
    </row>
    <row r="71" spans="1:11" ht="28.8" x14ac:dyDescent="0.3">
      <c r="A71" s="14">
        <v>70</v>
      </c>
      <c r="B71" s="14" t="s">
        <v>78</v>
      </c>
      <c r="C71" s="14" t="s">
        <v>165</v>
      </c>
      <c r="D71" s="14" t="s">
        <v>120</v>
      </c>
      <c r="E71" s="14" t="s">
        <v>121</v>
      </c>
      <c r="F71" s="14" t="s">
        <v>122</v>
      </c>
      <c r="G71" s="18" t="s">
        <v>6</v>
      </c>
      <c r="H71" s="14" t="s">
        <v>65</v>
      </c>
      <c r="I71" s="14" t="s">
        <v>161</v>
      </c>
      <c r="J71" s="14" t="s">
        <v>162</v>
      </c>
      <c r="K71" s="14" t="s">
        <v>21</v>
      </c>
    </row>
    <row r="72" spans="1:11" ht="28.8" x14ac:dyDescent="0.3">
      <c r="A72" s="14">
        <v>71</v>
      </c>
      <c r="B72" s="14" t="s">
        <v>104</v>
      </c>
      <c r="C72" s="14" t="s">
        <v>166</v>
      </c>
      <c r="D72" s="14" t="s">
        <v>120</v>
      </c>
      <c r="E72" s="14" t="s">
        <v>121</v>
      </c>
      <c r="F72" s="14" t="s">
        <v>122</v>
      </c>
      <c r="G72" s="18" t="s">
        <v>6</v>
      </c>
      <c r="H72" s="14" t="s">
        <v>65</v>
      </c>
      <c r="I72" s="14" t="s">
        <v>161</v>
      </c>
      <c r="J72" s="14" t="s">
        <v>162</v>
      </c>
      <c r="K72" s="14" t="s">
        <v>21</v>
      </c>
    </row>
    <row r="73" spans="1:11" ht="28.8" x14ac:dyDescent="0.3">
      <c r="A73" s="14">
        <v>72</v>
      </c>
      <c r="B73" s="14" t="s">
        <v>104</v>
      </c>
      <c r="C73" s="14" t="s">
        <v>167</v>
      </c>
      <c r="D73" s="14" t="s">
        <v>120</v>
      </c>
      <c r="E73" s="14" t="s">
        <v>121</v>
      </c>
      <c r="F73" s="14" t="s">
        <v>122</v>
      </c>
      <c r="G73" s="18" t="s">
        <v>6</v>
      </c>
      <c r="H73" s="14" t="s">
        <v>65</v>
      </c>
      <c r="I73" s="14" t="s">
        <v>161</v>
      </c>
      <c r="J73" s="14" t="s">
        <v>162</v>
      </c>
      <c r="K73" s="14" t="s">
        <v>21</v>
      </c>
    </row>
    <row r="74" spans="1:11" ht="28.8" x14ac:dyDescent="0.3">
      <c r="A74" s="14">
        <v>73</v>
      </c>
      <c r="B74" s="14" t="s">
        <v>36</v>
      </c>
      <c r="C74" s="14" t="s">
        <v>168</v>
      </c>
      <c r="D74" s="14" t="s">
        <v>38</v>
      </c>
      <c r="E74" s="14">
        <v>0.83989999999999998</v>
      </c>
      <c r="F74" s="14" t="s">
        <v>39</v>
      </c>
      <c r="G74" s="21" t="s">
        <v>4</v>
      </c>
      <c r="H74" s="14" t="s">
        <v>138</v>
      </c>
      <c r="I74" s="14" t="s">
        <v>169</v>
      </c>
      <c r="J74" s="14" t="s">
        <v>46</v>
      </c>
      <c r="K74" s="14" t="s">
        <v>21</v>
      </c>
    </row>
    <row r="75" spans="1:11" ht="28.8" x14ac:dyDescent="0.3">
      <c r="A75" s="14">
        <v>74</v>
      </c>
      <c r="B75" s="14" t="s">
        <v>36</v>
      </c>
      <c r="C75" s="14" t="s">
        <v>170</v>
      </c>
      <c r="D75" s="14" t="s">
        <v>38</v>
      </c>
      <c r="E75" s="14">
        <v>586234</v>
      </c>
      <c r="F75" s="14" t="s">
        <v>171</v>
      </c>
      <c r="G75" s="21" t="s">
        <v>4</v>
      </c>
      <c r="H75" s="14" t="s">
        <v>138</v>
      </c>
      <c r="I75" s="14" t="s">
        <v>172</v>
      </c>
      <c r="J75" s="14" t="s">
        <v>173</v>
      </c>
      <c r="K75" s="14" t="s">
        <v>21</v>
      </c>
    </row>
    <row r="76" spans="1:11" ht="28.8" x14ac:dyDescent="0.3">
      <c r="A76" s="14">
        <v>75</v>
      </c>
      <c r="B76" s="14" t="s">
        <v>67</v>
      </c>
      <c r="C76" s="14" t="s">
        <v>174</v>
      </c>
      <c r="D76" s="14" t="s">
        <v>38</v>
      </c>
      <c r="E76" s="14">
        <v>6.3399999999999998E-2</v>
      </c>
      <c r="F76" s="14" t="s">
        <v>39</v>
      </c>
      <c r="G76" s="21" t="s">
        <v>4</v>
      </c>
      <c r="H76" s="14" t="s">
        <v>138</v>
      </c>
      <c r="I76" s="14" t="s">
        <v>169</v>
      </c>
      <c r="J76" s="14" t="s">
        <v>46</v>
      </c>
      <c r="K76" s="14" t="s">
        <v>21</v>
      </c>
    </row>
    <row r="77" spans="1:11" ht="28.8" x14ac:dyDescent="0.3">
      <c r="A77" s="14">
        <v>76</v>
      </c>
      <c r="B77" s="14" t="s">
        <v>67</v>
      </c>
      <c r="C77" s="14" t="s">
        <v>175</v>
      </c>
      <c r="D77" s="14" t="s">
        <v>38</v>
      </c>
      <c r="E77" s="14">
        <v>403778</v>
      </c>
      <c r="F77" s="14" t="s">
        <v>171</v>
      </c>
      <c r="G77" s="21" t="s">
        <v>4</v>
      </c>
      <c r="H77" s="14" t="s">
        <v>138</v>
      </c>
      <c r="I77" s="14" t="s">
        <v>172</v>
      </c>
      <c r="J77" s="14" t="s">
        <v>173</v>
      </c>
      <c r="K77" s="14" t="s">
        <v>21</v>
      </c>
    </row>
    <row r="78" spans="1:11" ht="28.8" x14ac:dyDescent="0.3">
      <c r="A78" s="14">
        <v>77</v>
      </c>
      <c r="B78" s="14" t="s">
        <v>78</v>
      </c>
      <c r="C78" s="14" t="s">
        <v>176</v>
      </c>
      <c r="D78" s="14" t="s">
        <v>38</v>
      </c>
      <c r="E78" s="14">
        <v>2.0999999999999999E-3</v>
      </c>
      <c r="F78" s="14" t="s">
        <v>39</v>
      </c>
      <c r="G78" s="21" t="s">
        <v>4</v>
      </c>
      <c r="H78" s="14" t="s">
        <v>138</v>
      </c>
      <c r="I78" s="14" t="s">
        <v>169</v>
      </c>
      <c r="J78" s="14" t="s">
        <v>46</v>
      </c>
      <c r="K78" s="14" t="s">
        <v>21</v>
      </c>
    </row>
    <row r="79" spans="1:11" ht="28.8" x14ac:dyDescent="0.3">
      <c r="A79" s="14">
        <v>78</v>
      </c>
      <c r="B79" s="14" t="s">
        <v>78</v>
      </c>
      <c r="C79" s="14" t="s">
        <v>177</v>
      </c>
      <c r="D79" s="14" t="s">
        <v>38</v>
      </c>
      <c r="E79" s="14">
        <v>6.4000000000000003E-3</v>
      </c>
      <c r="F79" s="14" t="s">
        <v>39</v>
      </c>
      <c r="G79" s="21" t="s">
        <v>4</v>
      </c>
      <c r="H79" s="14" t="s">
        <v>138</v>
      </c>
      <c r="I79" s="14" t="s">
        <v>169</v>
      </c>
      <c r="J79" s="14" t="s">
        <v>46</v>
      </c>
      <c r="K79" s="14" t="s">
        <v>21</v>
      </c>
    </row>
    <row r="80" spans="1:11" ht="28.8" x14ac:dyDescent="0.3">
      <c r="A80" s="14">
        <v>79</v>
      </c>
      <c r="B80" s="14" t="s">
        <v>78</v>
      </c>
      <c r="C80" s="14" t="s">
        <v>178</v>
      </c>
      <c r="D80" s="14" t="s">
        <v>38</v>
      </c>
      <c r="E80" s="14">
        <v>1.6500000000000001E-2</v>
      </c>
      <c r="F80" s="14" t="s">
        <v>39</v>
      </c>
      <c r="G80" s="21" t="s">
        <v>4</v>
      </c>
      <c r="H80" s="14" t="s">
        <v>138</v>
      </c>
      <c r="I80" s="14" t="s">
        <v>169</v>
      </c>
      <c r="J80" s="14" t="s">
        <v>46</v>
      </c>
      <c r="K80" s="14" t="s">
        <v>21</v>
      </c>
    </row>
    <row r="81" spans="1:11" ht="28.8" x14ac:dyDescent="0.3">
      <c r="A81" s="14">
        <v>80</v>
      </c>
      <c r="B81" s="14" t="s">
        <v>78</v>
      </c>
      <c r="C81" s="14" t="s">
        <v>179</v>
      </c>
      <c r="D81" s="14" t="s">
        <v>38</v>
      </c>
      <c r="E81" s="14">
        <v>1164550</v>
      </c>
      <c r="F81" s="14" t="s">
        <v>171</v>
      </c>
      <c r="G81" s="21" t="s">
        <v>4</v>
      </c>
      <c r="H81" s="14" t="s">
        <v>138</v>
      </c>
      <c r="I81" s="14" t="s">
        <v>172</v>
      </c>
      <c r="J81" s="14" t="s">
        <v>173</v>
      </c>
      <c r="K81" s="14" t="s">
        <v>21</v>
      </c>
    </row>
    <row r="82" spans="1:11" ht="28.8" x14ac:dyDescent="0.3">
      <c r="A82" s="14">
        <v>81</v>
      </c>
      <c r="B82" s="14" t="s">
        <v>78</v>
      </c>
      <c r="C82" s="14" t="s">
        <v>180</v>
      </c>
      <c r="D82" s="14" t="s">
        <v>38</v>
      </c>
      <c r="E82" s="14">
        <v>887687</v>
      </c>
      <c r="F82" s="14" t="s">
        <v>171</v>
      </c>
      <c r="G82" s="21" t="s">
        <v>4</v>
      </c>
      <c r="H82" s="14" t="s">
        <v>138</v>
      </c>
      <c r="I82" s="14" t="s">
        <v>172</v>
      </c>
      <c r="J82" s="14" t="s">
        <v>173</v>
      </c>
      <c r="K82" s="14" t="s">
        <v>21</v>
      </c>
    </row>
    <row r="83" spans="1:11" ht="28.8" x14ac:dyDescent="0.3">
      <c r="A83" s="14">
        <v>82</v>
      </c>
      <c r="B83" s="14" t="s">
        <v>78</v>
      </c>
      <c r="C83" s="14" t="s">
        <v>181</v>
      </c>
      <c r="D83" s="14" t="s">
        <v>38</v>
      </c>
      <c r="E83" s="14">
        <v>1005830</v>
      </c>
      <c r="F83" s="14" t="s">
        <v>171</v>
      </c>
      <c r="G83" s="21" t="s">
        <v>4</v>
      </c>
      <c r="H83" s="14" t="s">
        <v>138</v>
      </c>
      <c r="I83" s="14" t="s">
        <v>172</v>
      </c>
      <c r="J83" s="14" t="s">
        <v>173</v>
      </c>
      <c r="K83" s="14" t="s">
        <v>21</v>
      </c>
    </row>
    <row r="84" spans="1:11" ht="28.8" x14ac:dyDescent="0.3">
      <c r="A84" s="14">
        <v>83</v>
      </c>
      <c r="B84" s="14" t="s">
        <v>104</v>
      </c>
      <c r="C84" s="14" t="s">
        <v>182</v>
      </c>
      <c r="D84" s="14" t="s">
        <v>38</v>
      </c>
      <c r="E84" s="14">
        <v>2.0500000000000001E-2</v>
      </c>
      <c r="F84" s="14" t="s">
        <v>39</v>
      </c>
      <c r="G84" s="21" t="s">
        <v>4</v>
      </c>
      <c r="H84" s="14" t="s">
        <v>138</v>
      </c>
      <c r="I84" s="14" t="s">
        <v>169</v>
      </c>
      <c r="J84" s="14" t="s">
        <v>46</v>
      </c>
      <c r="K84" s="14" t="s">
        <v>21</v>
      </c>
    </row>
    <row r="85" spans="1:11" ht="28.8" x14ac:dyDescent="0.3">
      <c r="A85" s="14">
        <v>84</v>
      </c>
      <c r="B85" s="14" t="s">
        <v>104</v>
      </c>
      <c r="C85" s="14" t="s">
        <v>183</v>
      </c>
      <c r="D85" s="14" t="s">
        <v>38</v>
      </c>
      <c r="E85" s="14">
        <v>5.1200000000000002E-2</v>
      </c>
      <c r="F85" s="14" t="s">
        <v>39</v>
      </c>
      <c r="G85" s="21" t="s">
        <v>4</v>
      </c>
      <c r="H85" s="14" t="s">
        <v>138</v>
      </c>
      <c r="I85" s="14" t="s">
        <v>169</v>
      </c>
      <c r="J85" s="14" t="s">
        <v>46</v>
      </c>
      <c r="K85" s="14" t="s">
        <v>21</v>
      </c>
    </row>
    <row r="86" spans="1:11" ht="28.8" x14ac:dyDescent="0.3">
      <c r="A86" s="14">
        <v>85</v>
      </c>
      <c r="B86" s="14" t="s">
        <v>104</v>
      </c>
      <c r="C86" s="14" t="s">
        <v>184</v>
      </c>
      <c r="D86" s="14" t="s">
        <v>38</v>
      </c>
      <c r="E86" s="14">
        <v>311024</v>
      </c>
      <c r="F86" s="14" t="s">
        <v>171</v>
      </c>
      <c r="G86" s="21" t="s">
        <v>4</v>
      </c>
      <c r="H86" s="14" t="s">
        <v>138</v>
      </c>
      <c r="I86" s="14" t="s">
        <v>172</v>
      </c>
      <c r="J86" s="14" t="s">
        <v>173</v>
      </c>
      <c r="K86" s="14" t="s">
        <v>21</v>
      </c>
    </row>
    <row r="87" spans="1:11" ht="28.8" x14ac:dyDescent="0.3">
      <c r="A87" s="14">
        <v>86</v>
      </c>
      <c r="B87" s="14" t="s">
        <v>104</v>
      </c>
      <c r="C87" s="14" t="s">
        <v>185</v>
      </c>
      <c r="D87" s="14" t="s">
        <v>38</v>
      </c>
      <c r="E87" s="14">
        <v>182261</v>
      </c>
      <c r="F87" s="14" t="s">
        <v>171</v>
      </c>
      <c r="G87" s="21" t="s">
        <v>4</v>
      </c>
      <c r="H87" s="14" t="s">
        <v>138</v>
      </c>
      <c r="I87" s="14" t="s">
        <v>172</v>
      </c>
      <c r="J87" s="14" t="s">
        <v>173</v>
      </c>
      <c r="K87" s="14" t="s">
        <v>21</v>
      </c>
    </row>
    <row r="88" spans="1:11" ht="28.8" x14ac:dyDescent="0.3">
      <c r="A88" s="14">
        <v>87</v>
      </c>
      <c r="B88" s="14" t="s">
        <v>186</v>
      </c>
      <c r="C88" s="14" t="s">
        <v>187</v>
      </c>
      <c r="D88" s="14" t="s">
        <v>120</v>
      </c>
      <c r="E88" s="14" t="s">
        <v>121</v>
      </c>
      <c r="F88" s="14" t="s">
        <v>39</v>
      </c>
      <c r="G88" s="21" t="s">
        <v>4</v>
      </c>
      <c r="H88" s="14" t="s">
        <v>138</v>
      </c>
      <c r="I88" s="14" t="s">
        <v>188</v>
      </c>
      <c r="J88" s="14" t="s">
        <v>46</v>
      </c>
      <c r="K88" s="14" t="s">
        <v>21</v>
      </c>
    </row>
    <row r="89" spans="1:11" ht="28.8" x14ac:dyDescent="0.3">
      <c r="A89" s="14">
        <v>88</v>
      </c>
      <c r="B89" s="14" t="s">
        <v>186</v>
      </c>
      <c r="C89" s="14" t="s">
        <v>189</v>
      </c>
      <c r="D89" s="14" t="s">
        <v>38</v>
      </c>
      <c r="E89" s="14">
        <v>0.5</v>
      </c>
      <c r="F89" s="14" t="s">
        <v>39</v>
      </c>
      <c r="G89" s="16" t="s">
        <v>12</v>
      </c>
      <c r="H89" s="14" t="s">
        <v>44</v>
      </c>
      <c r="I89" s="14" t="s">
        <v>190</v>
      </c>
      <c r="J89" s="14" t="s">
        <v>191</v>
      </c>
      <c r="K89" s="14" t="s">
        <v>21</v>
      </c>
    </row>
    <row r="90" spans="1:11" ht="28.8" x14ac:dyDescent="0.3">
      <c r="A90" s="14">
        <v>89</v>
      </c>
      <c r="B90" s="14" t="s">
        <v>186</v>
      </c>
      <c r="C90" s="14" t="s">
        <v>192</v>
      </c>
      <c r="D90" s="14" t="s">
        <v>38</v>
      </c>
      <c r="E90" s="14">
        <v>100</v>
      </c>
      <c r="F90" s="14" t="s">
        <v>39</v>
      </c>
      <c r="G90" s="21" t="s">
        <v>4</v>
      </c>
      <c r="H90" s="14" t="s">
        <v>138</v>
      </c>
      <c r="I90" s="14" t="s">
        <v>193</v>
      </c>
      <c r="J90" s="14" t="s">
        <v>46</v>
      </c>
      <c r="K90" s="14" t="s">
        <v>21</v>
      </c>
    </row>
    <row r="91" spans="1:11" ht="28.8" x14ac:dyDescent="0.3">
      <c r="A91" s="14">
        <v>90</v>
      </c>
      <c r="B91" s="14" t="s">
        <v>186</v>
      </c>
      <c r="C91" s="14" t="s">
        <v>194</v>
      </c>
      <c r="D91" s="14" t="s">
        <v>38</v>
      </c>
      <c r="E91" s="14">
        <v>2.98E-2</v>
      </c>
      <c r="F91" s="14" t="s">
        <v>122</v>
      </c>
      <c r="G91" s="18" t="s">
        <v>6</v>
      </c>
      <c r="H91" s="14" t="s">
        <v>195</v>
      </c>
      <c r="I91" s="14" t="s">
        <v>196</v>
      </c>
      <c r="J91" s="14" t="s">
        <v>46</v>
      </c>
      <c r="K91" s="14" t="s">
        <v>22</v>
      </c>
    </row>
    <row r="92" spans="1:11" ht="28.8" x14ac:dyDescent="0.3">
      <c r="A92" s="14">
        <v>91</v>
      </c>
      <c r="B92" s="14" t="s">
        <v>186</v>
      </c>
      <c r="C92" s="14" t="s">
        <v>197</v>
      </c>
      <c r="D92" s="14" t="s">
        <v>38</v>
      </c>
      <c r="E92" s="14">
        <v>100</v>
      </c>
      <c r="F92" s="14" t="s">
        <v>39</v>
      </c>
      <c r="G92" s="21" t="s">
        <v>4</v>
      </c>
      <c r="H92" s="14" t="s">
        <v>138</v>
      </c>
      <c r="I92" s="14" t="s">
        <v>193</v>
      </c>
      <c r="J92" s="14" t="s">
        <v>46</v>
      </c>
      <c r="K92" s="14" t="s">
        <v>21</v>
      </c>
    </row>
    <row r="93" spans="1:11" ht="43.2" x14ac:dyDescent="0.3">
      <c r="A93" s="14">
        <v>92</v>
      </c>
      <c r="B93" s="14" t="s">
        <v>186</v>
      </c>
      <c r="C93" s="14" t="s">
        <v>198</v>
      </c>
      <c r="D93" s="14" t="s">
        <v>38</v>
      </c>
      <c r="E93" s="14">
        <v>0.77370000000000005</v>
      </c>
      <c r="F93" s="14" t="s">
        <v>39</v>
      </c>
      <c r="G93" s="16" t="s">
        <v>12</v>
      </c>
      <c r="H93" s="14" t="s">
        <v>199</v>
      </c>
      <c r="I93" s="14" t="s">
        <v>200</v>
      </c>
      <c r="J93" s="14" t="s">
        <v>201</v>
      </c>
      <c r="K93" s="14" t="s">
        <v>21</v>
      </c>
    </row>
    <row r="94" spans="1:11" ht="28.8" x14ac:dyDescent="0.3">
      <c r="A94" s="14">
        <v>93</v>
      </c>
      <c r="B94" s="14" t="s">
        <v>186</v>
      </c>
      <c r="C94" s="14" t="s">
        <v>202</v>
      </c>
      <c r="D94" s="14" t="s">
        <v>38</v>
      </c>
      <c r="E94" s="14">
        <v>1</v>
      </c>
      <c r="F94" s="14" t="s">
        <v>150</v>
      </c>
      <c r="G94" s="16" t="s">
        <v>12</v>
      </c>
      <c r="H94" s="14" t="s">
        <v>44</v>
      </c>
      <c r="I94" s="14" t="s">
        <v>203</v>
      </c>
      <c r="J94" s="14" t="s">
        <v>204</v>
      </c>
      <c r="K94" s="14" t="s">
        <v>21</v>
      </c>
    </row>
    <row r="95" spans="1:11" ht="28.8" x14ac:dyDescent="0.3">
      <c r="A95" s="14">
        <v>94</v>
      </c>
      <c r="B95" s="14" t="s">
        <v>36</v>
      </c>
      <c r="C95" s="14" t="s">
        <v>205</v>
      </c>
      <c r="D95" s="14" t="s">
        <v>38</v>
      </c>
      <c r="E95" s="14">
        <v>0.5</v>
      </c>
      <c r="F95" s="14" t="s">
        <v>39</v>
      </c>
      <c r="G95" s="15" t="s">
        <v>8</v>
      </c>
      <c r="H95" s="14" t="s">
        <v>206</v>
      </c>
      <c r="I95" s="14" t="s">
        <v>207</v>
      </c>
      <c r="J95" s="14" t="s">
        <v>208</v>
      </c>
      <c r="K95" s="14" t="s">
        <v>21</v>
      </c>
    </row>
    <row r="96" spans="1:11" ht="28.8" x14ac:dyDescent="0.3">
      <c r="A96" s="14">
        <v>95</v>
      </c>
      <c r="B96" s="14" t="s">
        <v>36</v>
      </c>
      <c r="C96" s="14" t="s">
        <v>209</v>
      </c>
      <c r="D96" s="14" t="s">
        <v>38</v>
      </c>
      <c r="E96" s="14">
        <v>362.2</v>
      </c>
      <c r="F96" s="14" t="s">
        <v>210</v>
      </c>
      <c r="G96" s="15" t="s">
        <v>8</v>
      </c>
      <c r="H96" s="14" t="s">
        <v>211</v>
      </c>
      <c r="I96" s="14" t="s">
        <v>212</v>
      </c>
      <c r="J96" s="14" t="s">
        <v>46</v>
      </c>
      <c r="K96" s="14" t="s">
        <v>21</v>
      </c>
    </row>
    <row r="97" spans="1:11" ht="28.8" x14ac:dyDescent="0.3">
      <c r="A97" s="14">
        <v>96</v>
      </c>
      <c r="B97" s="14" t="s">
        <v>67</v>
      </c>
      <c r="C97" s="14" t="s">
        <v>213</v>
      </c>
      <c r="D97" s="14" t="s">
        <v>120</v>
      </c>
      <c r="E97" s="14" t="s">
        <v>121</v>
      </c>
      <c r="F97" s="14" t="s">
        <v>214</v>
      </c>
      <c r="G97" s="21" t="s">
        <v>4</v>
      </c>
      <c r="H97" s="14" t="s">
        <v>215</v>
      </c>
      <c r="I97" s="14" t="s">
        <v>216</v>
      </c>
      <c r="J97" s="14" t="s">
        <v>217</v>
      </c>
      <c r="K97" s="14" t="s">
        <v>21</v>
      </c>
    </row>
    <row r="98" spans="1:11" ht="28.8" x14ac:dyDescent="0.3">
      <c r="A98" s="14">
        <v>97</v>
      </c>
      <c r="B98" s="14" t="s">
        <v>67</v>
      </c>
      <c r="C98" s="14" t="s">
        <v>218</v>
      </c>
      <c r="D98" s="14" t="s">
        <v>38</v>
      </c>
      <c r="E98" s="14">
        <v>90</v>
      </c>
      <c r="F98" s="14" t="s">
        <v>39</v>
      </c>
      <c r="G98" s="15" t="s">
        <v>8</v>
      </c>
      <c r="H98" s="14" t="s">
        <v>211</v>
      </c>
      <c r="I98" s="14" t="s">
        <v>219</v>
      </c>
      <c r="J98" s="14" t="s">
        <v>46</v>
      </c>
      <c r="K98" s="14" t="s">
        <v>21</v>
      </c>
    </row>
    <row r="99" spans="1:11" ht="28.8" x14ac:dyDescent="0.3">
      <c r="A99" s="14">
        <v>98</v>
      </c>
      <c r="B99" s="14" t="s">
        <v>67</v>
      </c>
      <c r="C99" s="14" t="s">
        <v>220</v>
      </c>
      <c r="D99" s="14" t="s">
        <v>38</v>
      </c>
      <c r="E99" s="14">
        <v>320</v>
      </c>
      <c r="F99" s="14" t="s">
        <v>210</v>
      </c>
      <c r="G99" s="15" t="s">
        <v>8</v>
      </c>
      <c r="H99" s="14" t="s">
        <v>211</v>
      </c>
      <c r="I99" s="14" t="s">
        <v>221</v>
      </c>
      <c r="J99" s="14" t="s">
        <v>46</v>
      </c>
      <c r="K99" s="14" t="s">
        <v>21</v>
      </c>
    </row>
    <row r="100" spans="1:11" ht="28.8" x14ac:dyDescent="0.3">
      <c r="A100" s="14">
        <v>99</v>
      </c>
      <c r="B100" s="14" t="s">
        <v>78</v>
      </c>
      <c r="C100" s="14" t="s">
        <v>222</v>
      </c>
      <c r="D100" s="14" t="s">
        <v>120</v>
      </c>
      <c r="E100" s="14" t="s">
        <v>121</v>
      </c>
      <c r="F100" s="14" t="s">
        <v>214</v>
      </c>
      <c r="G100" s="21" t="s">
        <v>4</v>
      </c>
      <c r="H100" s="14" t="s">
        <v>215</v>
      </c>
      <c r="I100" s="14" t="s">
        <v>216</v>
      </c>
      <c r="J100" s="14" t="s">
        <v>217</v>
      </c>
      <c r="K100" s="14" t="s">
        <v>21</v>
      </c>
    </row>
    <row r="101" spans="1:11" ht="28.8" x14ac:dyDescent="0.3">
      <c r="A101" s="14">
        <v>100</v>
      </c>
      <c r="B101" s="14" t="s">
        <v>78</v>
      </c>
      <c r="C101" s="14" t="s">
        <v>223</v>
      </c>
      <c r="D101" s="14" t="s">
        <v>120</v>
      </c>
      <c r="E101" s="14" t="s">
        <v>121</v>
      </c>
      <c r="F101" s="14" t="s">
        <v>214</v>
      </c>
      <c r="G101" s="21" t="s">
        <v>4</v>
      </c>
      <c r="H101" s="14" t="s">
        <v>215</v>
      </c>
      <c r="I101" s="14" t="s">
        <v>216</v>
      </c>
      <c r="J101" s="14" t="s">
        <v>217</v>
      </c>
      <c r="K101" s="14" t="s">
        <v>21</v>
      </c>
    </row>
    <row r="102" spans="1:11" ht="28.8" x14ac:dyDescent="0.3">
      <c r="A102" s="14">
        <v>101</v>
      </c>
      <c r="B102" s="14" t="s">
        <v>78</v>
      </c>
      <c r="C102" s="14" t="s">
        <v>224</v>
      </c>
      <c r="D102" s="14" t="s">
        <v>120</v>
      </c>
      <c r="E102" s="14" t="s">
        <v>121</v>
      </c>
      <c r="F102" s="14" t="s">
        <v>214</v>
      </c>
      <c r="G102" s="21" t="s">
        <v>4</v>
      </c>
      <c r="H102" s="14" t="s">
        <v>215</v>
      </c>
      <c r="I102" s="14" t="s">
        <v>216</v>
      </c>
      <c r="J102" s="14" t="s">
        <v>217</v>
      </c>
      <c r="K102" s="14" t="s">
        <v>21</v>
      </c>
    </row>
    <row r="103" spans="1:11" ht="28.8" x14ac:dyDescent="0.3">
      <c r="A103" s="14">
        <v>102</v>
      </c>
      <c r="B103" s="14" t="s">
        <v>78</v>
      </c>
      <c r="C103" s="14" t="s">
        <v>225</v>
      </c>
      <c r="D103" s="14" t="s">
        <v>38</v>
      </c>
      <c r="E103" s="14">
        <v>100</v>
      </c>
      <c r="F103" s="14" t="s">
        <v>39</v>
      </c>
      <c r="G103" s="15" t="s">
        <v>8</v>
      </c>
      <c r="H103" s="14" t="s">
        <v>211</v>
      </c>
      <c r="I103" s="14" t="s">
        <v>226</v>
      </c>
      <c r="J103" s="14" t="s">
        <v>46</v>
      </c>
      <c r="K103" s="14" t="s">
        <v>21</v>
      </c>
    </row>
    <row r="104" spans="1:11" ht="28.8" x14ac:dyDescent="0.3">
      <c r="A104" s="14">
        <v>103</v>
      </c>
      <c r="B104" s="14" t="s">
        <v>78</v>
      </c>
      <c r="C104" s="14" t="s">
        <v>227</v>
      </c>
      <c r="D104" s="14" t="s">
        <v>38</v>
      </c>
      <c r="E104" s="14">
        <v>100</v>
      </c>
      <c r="F104" s="14" t="s">
        <v>39</v>
      </c>
      <c r="G104" s="15" t="s">
        <v>8</v>
      </c>
      <c r="H104" s="14" t="s">
        <v>211</v>
      </c>
      <c r="I104" s="14" t="s">
        <v>226</v>
      </c>
      <c r="J104" s="14" t="s">
        <v>46</v>
      </c>
      <c r="K104" s="14" t="s">
        <v>21</v>
      </c>
    </row>
    <row r="105" spans="1:11" ht="28.8" x14ac:dyDescent="0.3">
      <c r="A105" s="14">
        <v>104</v>
      </c>
      <c r="B105" s="14" t="s">
        <v>78</v>
      </c>
      <c r="C105" s="14" t="s">
        <v>228</v>
      </c>
      <c r="D105" s="14" t="s">
        <v>38</v>
      </c>
      <c r="E105" s="14">
        <v>100</v>
      </c>
      <c r="F105" s="14" t="s">
        <v>39</v>
      </c>
      <c r="G105" s="15" t="s">
        <v>8</v>
      </c>
      <c r="H105" s="14" t="s">
        <v>211</v>
      </c>
      <c r="I105" s="14" t="s">
        <v>226</v>
      </c>
      <c r="J105" s="14" t="s">
        <v>46</v>
      </c>
      <c r="K105" s="14" t="s">
        <v>21</v>
      </c>
    </row>
    <row r="106" spans="1:11" ht="28.8" x14ac:dyDescent="0.3">
      <c r="A106" s="14">
        <v>105</v>
      </c>
      <c r="B106" s="14" t="s">
        <v>78</v>
      </c>
      <c r="C106" s="14" t="s">
        <v>229</v>
      </c>
      <c r="D106" s="14" t="s">
        <v>38</v>
      </c>
      <c r="E106" s="14">
        <v>337.3</v>
      </c>
      <c r="F106" s="14" t="s">
        <v>210</v>
      </c>
      <c r="G106" s="15" t="s">
        <v>8</v>
      </c>
      <c r="H106" s="14" t="s">
        <v>211</v>
      </c>
      <c r="I106" s="14" t="s">
        <v>226</v>
      </c>
      <c r="J106" s="14" t="s">
        <v>46</v>
      </c>
      <c r="K106" s="14" t="s">
        <v>21</v>
      </c>
    </row>
    <row r="107" spans="1:11" ht="28.8" x14ac:dyDescent="0.3">
      <c r="A107" s="14">
        <v>106</v>
      </c>
      <c r="B107" s="14" t="s">
        <v>78</v>
      </c>
      <c r="C107" s="14" t="s">
        <v>230</v>
      </c>
      <c r="D107" s="14" t="s">
        <v>38</v>
      </c>
      <c r="E107" s="14">
        <v>452</v>
      </c>
      <c r="F107" s="14" t="s">
        <v>210</v>
      </c>
      <c r="G107" s="15" t="s">
        <v>8</v>
      </c>
      <c r="H107" s="14" t="s">
        <v>211</v>
      </c>
      <c r="I107" s="14" t="s">
        <v>226</v>
      </c>
      <c r="J107" s="14" t="s">
        <v>46</v>
      </c>
      <c r="K107" s="14" t="s">
        <v>21</v>
      </c>
    </row>
    <row r="108" spans="1:11" ht="28.8" x14ac:dyDescent="0.3">
      <c r="A108" s="14">
        <v>107</v>
      </c>
      <c r="B108" s="14" t="s">
        <v>78</v>
      </c>
      <c r="C108" s="14" t="s">
        <v>231</v>
      </c>
      <c r="D108" s="14" t="s">
        <v>38</v>
      </c>
      <c r="E108" s="14">
        <v>381</v>
      </c>
      <c r="F108" s="14" t="s">
        <v>210</v>
      </c>
      <c r="G108" s="15" t="s">
        <v>8</v>
      </c>
      <c r="H108" s="14" t="s">
        <v>211</v>
      </c>
      <c r="I108" s="14" t="s">
        <v>226</v>
      </c>
      <c r="J108" s="14" t="s">
        <v>46</v>
      </c>
      <c r="K108" s="14" t="s">
        <v>21</v>
      </c>
    </row>
    <row r="109" spans="1:11" ht="28.8" x14ac:dyDescent="0.3">
      <c r="A109" s="14">
        <v>108</v>
      </c>
      <c r="B109" s="14" t="s">
        <v>104</v>
      </c>
      <c r="C109" s="14" t="s">
        <v>232</v>
      </c>
      <c r="D109" s="14" t="s">
        <v>120</v>
      </c>
      <c r="E109" s="14" t="s">
        <v>121</v>
      </c>
      <c r="F109" s="14" t="s">
        <v>214</v>
      </c>
      <c r="G109" s="21" t="s">
        <v>4</v>
      </c>
      <c r="H109" s="14" t="s">
        <v>215</v>
      </c>
      <c r="I109" s="14" t="s">
        <v>216</v>
      </c>
      <c r="J109" s="14" t="s">
        <v>217</v>
      </c>
      <c r="K109" s="14" t="s">
        <v>21</v>
      </c>
    </row>
    <row r="110" spans="1:11" ht="28.8" x14ac:dyDescent="0.3">
      <c r="A110" s="14">
        <v>109</v>
      </c>
      <c r="B110" s="14" t="s">
        <v>104</v>
      </c>
      <c r="C110" s="14" t="s">
        <v>233</v>
      </c>
      <c r="D110" s="14" t="s">
        <v>120</v>
      </c>
      <c r="E110" s="14" t="s">
        <v>121</v>
      </c>
      <c r="F110" s="14" t="s">
        <v>214</v>
      </c>
      <c r="G110" s="21" t="s">
        <v>4</v>
      </c>
      <c r="H110" s="14" t="s">
        <v>215</v>
      </c>
      <c r="I110" s="14" t="s">
        <v>216</v>
      </c>
      <c r="J110" s="14" t="s">
        <v>217</v>
      </c>
      <c r="K110" s="14" t="s">
        <v>21</v>
      </c>
    </row>
    <row r="111" spans="1:11" ht="28.8" x14ac:dyDescent="0.3">
      <c r="A111" s="14">
        <v>110</v>
      </c>
      <c r="B111" s="14" t="s">
        <v>104</v>
      </c>
      <c r="C111" s="14" t="s">
        <v>234</v>
      </c>
      <c r="D111" s="14" t="s">
        <v>38</v>
      </c>
      <c r="E111" s="14">
        <v>85</v>
      </c>
      <c r="F111" s="14" t="s">
        <v>39</v>
      </c>
      <c r="G111" s="15" t="s">
        <v>8</v>
      </c>
      <c r="H111" s="14" t="s">
        <v>211</v>
      </c>
      <c r="I111" s="14" t="s">
        <v>226</v>
      </c>
      <c r="J111" s="14" t="s">
        <v>46</v>
      </c>
      <c r="K111" s="14" t="s">
        <v>21</v>
      </c>
    </row>
    <row r="112" spans="1:11" ht="28.8" x14ac:dyDescent="0.3">
      <c r="A112" s="14">
        <v>111</v>
      </c>
      <c r="B112" s="14" t="s">
        <v>104</v>
      </c>
      <c r="C112" s="14" t="s">
        <v>235</v>
      </c>
      <c r="D112" s="14" t="s">
        <v>38</v>
      </c>
      <c r="E112" s="14">
        <v>75</v>
      </c>
      <c r="F112" s="14" t="s">
        <v>39</v>
      </c>
      <c r="G112" s="15" t="s">
        <v>8</v>
      </c>
      <c r="H112" s="14" t="s">
        <v>211</v>
      </c>
      <c r="I112" s="14" t="s">
        <v>226</v>
      </c>
      <c r="J112" s="14" t="s">
        <v>46</v>
      </c>
      <c r="K112" s="14" t="s">
        <v>21</v>
      </c>
    </row>
    <row r="113" spans="1:11" ht="28.8" x14ac:dyDescent="0.3">
      <c r="A113" s="14">
        <v>112</v>
      </c>
      <c r="B113" s="14" t="s">
        <v>104</v>
      </c>
      <c r="C113" s="14" t="s">
        <v>236</v>
      </c>
      <c r="D113" s="14" t="s">
        <v>38</v>
      </c>
      <c r="E113" s="14">
        <v>110</v>
      </c>
      <c r="F113" s="14" t="s">
        <v>210</v>
      </c>
      <c r="G113" s="15" t="s">
        <v>8</v>
      </c>
      <c r="H113" s="14" t="s">
        <v>211</v>
      </c>
      <c r="I113" s="14" t="s">
        <v>226</v>
      </c>
      <c r="J113" s="14" t="s">
        <v>46</v>
      </c>
      <c r="K113" s="14" t="s">
        <v>21</v>
      </c>
    </row>
    <row r="114" spans="1:11" ht="28.8" x14ac:dyDescent="0.3">
      <c r="A114" s="14">
        <v>113</v>
      </c>
      <c r="B114" s="14" t="s">
        <v>104</v>
      </c>
      <c r="C114" s="14" t="s">
        <v>237</v>
      </c>
      <c r="D114" s="14" t="s">
        <v>38</v>
      </c>
      <c r="E114" s="14">
        <v>130.9</v>
      </c>
      <c r="F114" s="14" t="s">
        <v>210</v>
      </c>
      <c r="G114" s="15" t="s">
        <v>8</v>
      </c>
      <c r="H114" s="14" t="s">
        <v>211</v>
      </c>
      <c r="I114" s="14" t="s">
        <v>226</v>
      </c>
      <c r="J114" s="14" t="s">
        <v>46</v>
      </c>
      <c r="K114" s="14" t="s">
        <v>21</v>
      </c>
    </row>
    <row r="115" spans="1:11" ht="28.8" x14ac:dyDescent="0.3">
      <c r="A115" s="14">
        <v>114</v>
      </c>
      <c r="B115" s="14" t="s">
        <v>238</v>
      </c>
      <c r="C115" s="14" t="s">
        <v>239</v>
      </c>
      <c r="D115" s="14" t="s">
        <v>120</v>
      </c>
      <c r="E115" s="14" t="s">
        <v>121</v>
      </c>
      <c r="F115" s="14" t="s">
        <v>214</v>
      </c>
      <c r="G115" s="21" t="s">
        <v>4</v>
      </c>
      <c r="H115" s="14" t="s">
        <v>215</v>
      </c>
      <c r="I115" s="14" t="s">
        <v>216</v>
      </c>
      <c r="J115" s="14" t="s">
        <v>217</v>
      </c>
      <c r="K115" s="14" t="s">
        <v>21</v>
      </c>
    </row>
    <row r="116" spans="1:11" x14ac:dyDescent="0.3">
      <c r="A116" s="14">
        <v>115</v>
      </c>
      <c r="B116" s="14" t="s">
        <v>238</v>
      </c>
      <c r="C116" s="14" t="s">
        <v>240</v>
      </c>
      <c r="D116" s="14" t="s">
        <v>120</v>
      </c>
      <c r="E116" s="14" t="s">
        <v>121</v>
      </c>
      <c r="F116" s="14" t="s">
        <v>122</v>
      </c>
      <c r="G116" s="21" t="s">
        <v>4</v>
      </c>
      <c r="H116" s="14" t="s">
        <v>138</v>
      </c>
      <c r="I116" s="14" t="s">
        <v>241</v>
      </c>
      <c r="J116" s="14" t="s">
        <v>242</v>
      </c>
      <c r="K116" s="14" t="s">
        <v>21</v>
      </c>
    </row>
    <row r="117" spans="1:11" ht="28.8" x14ac:dyDescent="0.3">
      <c r="A117" s="14">
        <v>116</v>
      </c>
      <c r="B117" s="14" t="s">
        <v>238</v>
      </c>
      <c r="C117" s="14" t="s">
        <v>243</v>
      </c>
      <c r="D117" s="14" t="s">
        <v>38</v>
      </c>
      <c r="E117" s="14">
        <v>100</v>
      </c>
      <c r="F117" s="14" t="s">
        <v>39</v>
      </c>
      <c r="G117" s="15" t="s">
        <v>8</v>
      </c>
      <c r="H117" s="14" t="s">
        <v>211</v>
      </c>
      <c r="I117" s="14" t="s">
        <v>226</v>
      </c>
      <c r="J117" s="14" t="s">
        <v>46</v>
      </c>
      <c r="K117" s="14" t="s">
        <v>21</v>
      </c>
    </row>
    <row r="118" spans="1:11" ht="28.8" x14ac:dyDescent="0.3">
      <c r="A118" s="14">
        <v>117</v>
      </c>
      <c r="B118" s="14" t="s">
        <v>238</v>
      </c>
      <c r="C118" s="14" t="s">
        <v>244</v>
      </c>
      <c r="D118" s="14" t="s">
        <v>38</v>
      </c>
      <c r="E118" s="14">
        <v>10</v>
      </c>
      <c r="F118" s="14" t="s">
        <v>39</v>
      </c>
      <c r="G118" s="15" t="s">
        <v>8</v>
      </c>
      <c r="H118" s="14" t="s">
        <v>206</v>
      </c>
      <c r="I118" s="14" t="s">
        <v>245</v>
      </c>
      <c r="J118" s="14" t="s">
        <v>208</v>
      </c>
      <c r="K118" s="14" t="s">
        <v>21</v>
      </c>
    </row>
    <row r="119" spans="1:11" ht="28.8" x14ac:dyDescent="0.3">
      <c r="A119" s="14">
        <v>118</v>
      </c>
      <c r="B119" s="14" t="s">
        <v>238</v>
      </c>
      <c r="C119" s="14" t="s">
        <v>246</v>
      </c>
      <c r="D119" s="14" t="s">
        <v>38</v>
      </c>
      <c r="E119" s="14">
        <v>25</v>
      </c>
      <c r="F119" s="14" t="s">
        <v>39</v>
      </c>
      <c r="G119" s="15" t="s">
        <v>8</v>
      </c>
      <c r="H119" s="14" t="s">
        <v>206</v>
      </c>
      <c r="I119" s="14" t="s">
        <v>245</v>
      </c>
      <c r="J119" s="14" t="s">
        <v>208</v>
      </c>
      <c r="K119" s="14" t="s">
        <v>21</v>
      </c>
    </row>
    <row r="120" spans="1:11" ht="28.8" x14ac:dyDescent="0.3">
      <c r="A120" s="14">
        <v>119</v>
      </c>
      <c r="B120" s="14" t="s">
        <v>238</v>
      </c>
      <c r="C120" s="14" t="s">
        <v>247</v>
      </c>
      <c r="D120" s="14" t="s">
        <v>38</v>
      </c>
      <c r="E120" s="14">
        <v>2.5</v>
      </c>
      <c r="F120" s="14" t="s">
        <v>39</v>
      </c>
      <c r="G120" s="15" t="s">
        <v>8</v>
      </c>
      <c r="H120" s="14" t="s">
        <v>206</v>
      </c>
      <c r="I120" s="14" t="s">
        <v>245</v>
      </c>
      <c r="J120" s="14" t="s">
        <v>208</v>
      </c>
      <c r="K120" s="14" t="s">
        <v>21</v>
      </c>
    </row>
    <row r="121" spans="1:11" ht="28.8" x14ac:dyDescent="0.3">
      <c r="A121" s="14">
        <v>120</v>
      </c>
      <c r="B121" s="14" t="s">
        <v>118</v>
      </c>
      <c r="C121" s="14" t="s">
        <v>248</v>
      </c>
      <c r="D121" s="14" t="s">
        <v>38</v>
      </c>
      <c r="E121" s="14">
        <v>100</v>
      </c>
      <c r="F121" s="14" t="s">
        <v>249</v>
      </c>
      <c r="G121" s="15" t="s">
        <v>8</v>
      </c>
      <c r="H121" s="14" t="s">
        <v>250</v>
      </c>
      <c r="I121" s="14" t="s">
        <v>251</v>
      </c>
      <c r="J121" s="14" t="s">
        <v>46</v>
      </c>
      <c r="K121" s="14" t="s">
        <v>21</v>
      </c>
    </row>
    <row r="122" spans="1:11" ht="28.8" x14ac:dyDescent="0.3">
      <c r="A122" s="14">
        <v>121</v>
      </c>
      <c r="B122" s="14" t="s">
        <v>118</v>
      </c>
      <c r="C122" s="14" t="s">
        <v>252</v>
      </c>
      <c r="D122" s="14" t="s">
        <v>38</v>
      </c>
      <c r="E122" s="14">
        <v>2</v>
      </c>
      <c r="F122" s="14" t="s">
        <v>39</v>
      </c>
      <c r="G122" s="15" t="s">
        <v>8</v>
      </c>
      <c r="H122" s="14" t="s">
        <v>206</v>
      </c>
      <c r="I122" s="14" t="s">
        <v>253</v>
      </c>
      <c r="J122" s="14" t="s">
        <v>208</v>
      </c>
      <c r="K122" s="14" t="s">
        <v>21</v>
      </c>
    </row>
    <row r="123" spans="1:11" ht="28.8" x14ac:dyDescent="0.3">
      <c r="A123" s="14">
        <v>122</v>
      </c>
      <c r="B123" s="14" t="s">
        <v>118</v>
      </c>
      <c r="C123" s="14" t="s">
        <v>254</v>
      </c>
      <c r="D123" s="14" t="s">
        <v>38</v>
      </c>
      <c r="E123" s="14">
        <v>0.5</v>
      </c>
      <c r="F123" s="14" t="s">
        <v>39</v>
      </c>
      <c r="G123" s="15" t="s">
        <v>8</v>
      </c>
      <c r="H123" s="14" t="s">
        <v>206</v>
      </c>
      <c r="I123" s="14" t="s">
        <v>255</v>
      </c>
      <c r="J123" s="14" t="s">
        <v>208</v>
      </c>
      <c r="K123" s="14" t="s">
        <v>21</v>
      </c>
    </row>
    <row r="124" spans="1:11" ht="28.8" x14ac:dyDescent="0.3">
      <c r="A124" s="14">
        <v>123</v>
      </c>
      <c r="B124" s="14" t="s">
        <v>118</v>
      </c>
      <c r="C124" s="14" t="s">
        <v>256</v>
      </c>
      <c r="D124" s="14" t="s">
        <v>38</v>
      </c>
      <c r="E124" s="14">
        <v>300</v>
      </c>
      <c r="F124" s="14" t="s">
        <v>257</v>
      </c>
      <c r="G124" s="15" t="s">
        <v>8</v>
      </c>
      <c r="H124" s="14" t="s">
        <v>258</v>
      </c>
      <c r="I124" s="14" t="s">
        <v>259</v>
      </c>
      <c r="J124" s="14" t="s">
        <v>260</v>
      </c>
      <c r="K124" s="14" t="s">
        <v>21</v>
      </c>
    </row>
    <row r="125" spans="1:11" ht="28.8" x14ac:dyDescent="0.3">
      <c r="A125" s="14">
        <v>124</v>
      </c>
      <c r="B125" s="14" t="s">
        <v>118</v>
      </c>
      <c r="C125" s="14" t="s">
        <v>261</v>
      </c>
      <c r="D125" s="14" t="s">
        <v>38</v>
      </c>
      <c r="E125" s="14">
        <v>2400</v>
      </c>
      <c r="F125" s="14" t="s">
        <v>262</v>
      </c>
      <c r="G125" s="15" t="s">
        <v>8</v>
      </c>
      <c r="H125" s="14" t="s">
        <v>263</v>
      </c>
      <c r="I125" s="14" t="s">
        <v>264</v>
      </c>
      <c r="J125" s="14" t="s">
        <v>208</v>
      </c>
      <c r="K125" s="14" t="s">
        <v>21</v>
      </c>
    </row>
    <row r="126" spans="1:11" ht="28.8" x14ac:dyDescent="0.3">
      <c r="A126" s="14">
        <v>125</v>
      </c>
      <c r="B126" s="14" t="s">
        <v>265</v>
      </c>
      <c r="C126" s="14" t="s">
        <v>266</v>
      </c>
      <c r="D126" s="14" t="s">
        <v>267</v>
      </c>
      <c r="E126" s="14">
        <v>0</v>
      </c>
      <c r="F126" s="14" t="s">
        <v>39</v>
      </c>
      <c r="G126" s="23" t="s">
        <v>16</v>
      </c>
      <c r="H126" s="14" t="s">
        <v>268</v>
      </c>
      <c r="I126" s="14" t="s">
        <v>269</v>
      </c>
      <c r="J126" s="14" t="s">
        <v>270</v>
      </c>
      <c r="K126" s="14" t="s">
        <v>21</v>
      </c>
    </row>
    <row r="127" spans="1:11" ht="28.8" x14ac:dyDescent="0.3">
      <c r="A127" s="14">
        <v>126</v>
      </c>
      <c r="B127" s="14" t="s">
        <v>36</v>
      </c>
      <c r="C127" s="14" t="s">
        <v>271</v>
      </c>
      <c r="D127" s="14" t="s">
        <v>38</v>
      </c>
      <c r="E127" s="14">
        <v>0.05</v>
      </c>
      <c r="F127" s="14" t="s">
        <v>39</v>
      </c>
      <c r="G127" s="16" t="s">
        <v>12</v>
      </c>
      <c r="H127" s="14" t="s">
        <v>44</v>
      </c>
      <c r="I127" s="14" t="s">
        <v>272</v>
      </c>
      <c r="J127" s="14" t="s">
        <v>273</v>
      </c>
      <c r="K127" s="20" t="s">
        <v>23</v>
      </c>
    </row>
    <row r="128" spans="1:11" ht="28.8" x14ac:dyDescent="0.3">
      <c r="A128" s="14">
        <v>127</v>
      </c>
      <c r="B128" s="14" t="s">
        <v>36</v>
      </c>
      <c r="C128" s="14" t="s">
        <v>274</v>
      </c>
      <c r="D128" s="14" t="s">
        <v>267</v>
      </c>
      <c r="E128" s="14">
        <v>0</v>
      </c>
      <c r="F128" s="14" t="s">
        <v>122</v>
      </c>
      <c r="G128" s="23" t="s">
        <v>16</v>
      </c>
      <c r="H128" s="14" t="s">
        <v>268</v>
      </c>
      <c r="I128" s="14" t="s">
        <v>275</v>
      </c>
      <c r="J128" s="14" t="s">
        <v>276</v>
      </c>
      <c r="K128" s="14" t="s">
        <v>21</v>
      </c>
    </row>
    <row r="129" spans="1:11" ht="28.8" x14ac:dyDescent="0.3">
      <c r="A129" s="14">
        <v>128</v>
      </c>
      <c r="B129" s="14" t="s">
        <v>186</v>
      </c>
      <c r="C129" s="14" t="s">
        <v>277</v>
      </c>
      <c r="D129" s="14" t="s">
        <v>120</v>
      </c>
      <c r="E129" s="14" t="s">
        <v>121</v>
      </c>
      <c r="F129" s="14" t="s">
        <v>278</v>
      </c>
      <c r="G129" s="21" t="s">
        <v>4</v>
      </c>
      <c r="H129" s="14" t="s">
        <v>279</v>
      </c>
      <c r="I129" s="14" t="s">
        <v>280</v>
      </c>
      <c r="J129" s="14" t="s">
        <v>46</v>
      </c>
      <c r="K129" s="14" t="s">
        <v>21</v>
      </c>
    </row>
    <row r="130" spans="1:11" ht="28.8" x14ac:dyDescent="0.3">
      <c r="A130" s="14">
        <v>129</v>
      </c>
      <c r="B130" s="14" t="s">
        <v>186</v>
      </c>
      <c r="C130" s="14" t="s">
        <v>281</v>
      </c>
      <c r="D130" s="14" t="s">
        <v>38</v>
      </c>
      <c r="E130" s="14">
        <v>0.05</v>
      </c>
      <c r="F130" s="14" t="s">
        <v>39</v>
      </c>
      <c r="G130" s="16" t="s">
        <v>12</v>
      </c>
      <c r="H130" s="14" t="s">
        <v>44</v>
      </c>
      <c r="I130" s="14" t="s">
        <v>282</v>
      </c>
      <c r="J130" s="14" t="s">
        <v>283</v>
      </c>
      <c r="K130" s="20" t="s">
        <v>23</v>
      </c>
    </row>
    <row r="131" spans="1:11" ht="28.8" x14ac:dyDescent="0.3">
      <c r="A131" s="14">
        <v>130</v>
      </c>
      <c r="B131" s="14" t="s">
        <v>186</v>
      </c>
      <c r="C131" s="14" t="s">
        <v>284</v>
      </c>
      <c r="D131" s="14" t="s">
        <v>38</v>
      </c>
      <c r="E131" s="14">
        <v>0.3</v>
      </c>
      <c r="F131" s="14" t="s">
        <v>39</v>
      </c>
      <c r="G131" s="16" t="s">
        <v>12</v>
      </c>
      <c r="H131" s="14" t="s">
        <v>44</v>
      </c>
      <c r="I131" s="14" t="s">
        <v>285</v>
      </c>
      <c r="J131" s="14" t="s">
        <v>130</v>
      </c>
      <c r="K131" s="14" t="s">
        <v>21</v>
      </c>
    </row>
    <row r="132" spans="1:11" ht="28.8" x14ac:dyDescent="0.3">
      <c r="A132" s="14">
        <v>131</v>
      </c>
      <c r="B132" s="14" t="s">
        <v>186</v>
      </c>
      <c r="C132" s="14" t="s">
        <v>286</v>
      </c>
      <c r="D132" s="14" t="s">
        <v>38</v>
      </c>
      <c r="E132" s="14">
        <v>0.2</v>
      </c>
      <c r="F132" s="14" t="s">
        <v>39</v>
      </c>
      <c r="G132" s="16" t="s">
        <v>12</v>
      </c>
      <c r="H132" s="14" t="s">
        <v>44</v>
      </c>
      <c r="I132" s="14" t="s">
        <v>287</v>
      </c>
      <c r="J132" s="14" t="s">
        <v>288</v>
      </c>
      <c r="K132" s="14" t="s">
        <v>21</v>
      </c>
    </row>
    <row r="133" spans="1:11" ht="28.8" x14ac:dyDescent="0.3">
      <c r="A133" s="14">
        <v>132</v>
      </c>
      <c r="B133" s="14" t="s">
        <v>186</v>
      </c>
      <c r="C133" s="14" t="s">
        <v>289</v>
      </c>
      <c r="D133" s="14" t="s">
        <v>38</v>
      </c>
      <c r="E133" s="14">
        <v>497391</v>
      </c>
      <c r="F133" s="14" t="s">
        <v>278</v>
      </c>
      <c r="G133" s="21" t="s">
        <v>4</v>
      </c>
      <c r="H133" s="14" t="s">
        <v>290</v>
      </c>
      <c r="I133" s="14" t="s">
        <v>291</v>
      </c>
      <c r="J133" s="14" t="s">
        <v>46</v>
      </c>
      <c r="K133" s="14" t="s">
        <v>21</v>
      </c>
    </row>
    <row r="134" spans="1:11" ht="28.8" x14ac:dyDescent="0.3">
      <c r="A134" s="14">
        <v>133</v>
      </c>
      <c r="B134" s="14" t="s">
        <v>186</v>
      </c>
      <c r="C134" s="14" t="s">
        <v>292</v>
      </c>
      <c r="D134" s="14" t="s">
        <v>267</v>
      </c>
      <c r="E134" s="14">
        <v>0</v>
      </c>
      <c r="F134" s="14" t="s">
        <v>39</v>
      </c>
      <c r="G134" s="23" t="s">
        <v>16</v>
      </c>
      <c r="H134" s="14" t="s">
        <v>268</v>
      </c>
      <c r="I134" s="14" t="s">
        <v>293</v>
      </c>
      <c r="J134" s="14" t="s">
        <v>294</v>
      </c>
      <c r="K134" s="14" t="s">
        <v>21</v>
      </c>
    </row>
    <row r="135" spans="1:11" ht="28.8" x14ac:dyDescent="0.3">
      <c r="A135" s="14">
        <v>134</v>
      </c>
      <c r="B135" s="14" t="s">
        <v>186</v>
      </c>
      <c r="C135" s="14" t="s">
        <v>295</v>
      </c>
      <c r="D135" s="14" t="s">
        <v>267</v>
      </c>
      <c r="E135" s="14">
        <v>0</v>
      </c>
      <c r="F135" s="14" t="s">
        <v>39</v>
      </c>
      <c r="G135" s="23" t="s">
        <v>16</v>
      </c>
      <c r="H135" s="14" t="s">
        <v>268</v>
      </c>
      <c r="I135" s="14" t="s">
        <v>293</v>
      </c>
      <c r="J135" s="14" t="s">
        <v>296</v>
      </c>
      <c r="K135" s="14" t="s">
        <v>21</v>
      </c>
    </row>
    <row r="136" spans="1:11" x14ac:dyDescent="0.3">
      <c r="A136" s="14">
        <v>135</v>
      </c>
      <c r="B136" s="14" t="s">
        <v>36</v>
      </c>
      <c r="C136" s="14" t="s">
        <v>297</v>
      </c>
      <c r="D136" s="14" t="s">
        <v>298</v>
      </c>
      <c r="E136" s="14">
        <v>7384310</v>
      </c>
      <c r="F136" s="14" t="s">
        <v>299</v>
      </c>
      <c r="G136" s="21" t="s">
        <v>4</v>
      </c>
      <c r="H136" s="14" t="s">
        <v>300</v>
      </c>
      <c r="I136" s="14" t="s">
        <v>301</v>
      </c>
      <c r="J136" s="14" t="s">
        <v>46</v>
      </c>
      <c r="K136" s="14" t="s">
        <v>21</v>
      </c>
    </row>
    <row r="137" spans="1:11" x14ac:dyDescent="0.3">
      <c r="A137" s="14">
        <v>136</v>
      </c>
      <c r="B137" s="14" t="s">
        <v>36</v>
      </c>
      <c r="C137" s="14" t="s">
        <v>302</v>
      </c>
      <c r="D137" s="14" t="s">
        <v>298</v>
      </c>
      <c r="E137" s="14">
        <v>205110</v>
      </c>
      <c r="F137" s="14" t="s">
        <v>299</v>
      </c>
      <c r="G137" s="21" t="s">
        <v>4</v>
      </c>
      <c r="H137" s="14" t="s">
        <v>303</v>
      </c>
      <c r="I137" s="14" t="s">
        <v>304</v>
      </c>
      <c r="J137" s="14" t="s">
        <v>46</v>
      </c>
      <c r="K137" s="14" t="s">
        <v>21</v>
      </c>
    </row>
    <row r="138" spans="1:11" ht="28.8" x14ac:dyDescent="0.3">
      <c r="A138" s="14">
        <v>137</v>
      </c>
      <c r="B138" s="14" t="s">
        <v>36</v>
      </c>
      <c r="C138" s="14" t="s">
        <v>305</v>
      </c>
      <c r="D138" s="14" t="s">
        <v>306</v>
      </c>
      <c r="E138" s="14">
        <v>0.6411</v>
      </c>
      <c r="F138" s="14" t="s">
        <v>39</v>
      </c>
      <c r="G138" s="17" t="s">
        <v>10</v>
      </c>
      <c r="H138" s="14" t="s">
        <v>307</v>
      </c>
      <c r="I138" s="14" t="s">
        <v>308</v>
      </c>
      <c r="J138" s="14" t="s">
        <v>46</v>
      </c>
      <c r="K138" s="14" t="s">
        <v>21</v>
      </c>
    </row>
    <row r="139" spans="1:11" ht="28.8" x14ac:dyDescent="0.3">
      <c r="A139" s="14">
        <v>138</v>
      </c>
      <c r="B139" s="14" t="s">
        <v>67</v>
      </c>
      <c r="C139" s="14" t="s">
        <v>309</v>
      </c>
      <c r="D139" s="14" t="s">
        <v>298</v>
      </c>
      <c r="E139" s="14">
        <v>100000</v>
      </c>
      <c r="F139" s="14" t="s">
        <v>299</v>
      </c>
      <c r="G139" s="16" t="s">
        <v>12</v>
      </c>
      <c r="H139" s="14" t="s">
        <v>44</v>
      </c>
      <c r="I139" s="14" t="s">
        <v>310</v>
      </c>
      <c r="J139" s="14" t="s">
        <v>46</v>
      </c>
      <c r="K139" s="20" t="s">
        <v>23</v>
      </c>
    </row>
    <row r="140" spans="1:11" ht="28.8" x14ac:dyDescent="0.3">
      <c r="A140" s="14">
        <v>139</v>
      </c>
      <c r="B140" s="14" t="s">
        <v>78</v>
      </c>
      <c r="C140" s="14" t="s">
        <v>311</v>
      </c>
      <c r="D140" s="14" t="s">
        <v>298</v>
      </c>
      <c r="E140" s="14" t="s">
        <v>312</v>
      </c>
      <c r="F140" s="14" t="s">
        <v>299</v>
      </c>
      <c r="G140" s="21" t="s">
        <v>4</v>
      </c>
      <c r="H140" s="14" t="s">
        <v>313</v>
      </c>
      <c r="I140" s="14" t="s">
        <v>314</v>
      </c>
      <c r="J140" s="14" t="s">
        <v>46</v>
      </c>
      <c r="K140" s="20" t="s">
        <v>23</v>
      </c>
    </row>
    <row r="141" spans="1:11" ht="28.8" x14ac:dyDescent="0.3">
      <c r="A141" s="14">
        <v>140</v>
      </c>
      <c r="B141" s="14" t="s">
        <v>104</v>
      </c>
      <c r="C141" s="14" t="s">
        <v>315</v>
      </c>
      <c r="D141" s="14" t="s">
        <v>298</v>
      </c>
      <c r="E141" s="14" t="s">
        <v>316</v>
      </c>
      <c r="F141" s="14" t="s">
        <v>299</v>
      </c>
      <c r="G141" s="21" t="s">
        <v>4</v>
      </c>
      <c r="H141" s="14" t="s">
        <v>313</v>
      </c>
      <c r="I141" s="14" t="s">
        <v>314</v>
      </c>
      <c r="J141" s="14" t="s">
        <v>46</v>
      </c>
      <c r="K141" s="20" t="s">
        <v>23</v>
      </c>
    </row>
    <row r="142" spans="1:11" ht="28.8" x14ac:dyDescent="0.3">
      <c r="A142" s="14">
        <v>141</v>
      </c>
      <c r="B142" s="14" t="s">
        <v>265</v>
      </c>
      <c r="C142" s="14" t="s">
        <v>317</v>
      </c>
      <c r="D142" s="14" t="s">
        <v>298</v>
      </c>
      <c r="E142" s="14">
        <v>1643307</v>
      </c>
      <c r="F142" s="14" t="s">
        <v>157</v>
      </c>
      <c r="G142" s="21" t="s">
        <v>4</v>
      </c>
      <c r="H142" s="14" t="s">
        <v>290</v>
      </c>
      <c r="I142" s="14" t="s">
        <v>318</v>
      </c>
      <c r="J142" s="14" t="s">
        <v>46</v>
      </c>
      <c r="K142" s="14" t="s">
        <v>22</v>
      </c>
    </row>
    <row r="143" spans="1:11" ht="28.8" x14ac:dyDescent="0.3">
      <c r="A143" s="14">
        <v>142</v>
      </c>
      <c r="B143" s="14" t="s">
        <v>265</v>
      </c>
      <c r="C143" s="14" t="s">
        <v>319</v>
      </c>
      <c r="D143" s="14" t="s">
        <v>306</v>
      </c>
      <c r="E143" s="14">
        <v>-2.1199999999999999E-3</v>
      </c>
      <c r="F143" s="14" t="s">
        <v>320</v>
      </c>
      <c r="G143" s="18" t="s">
        <v>6</v>
      </c>
      <c r="H143" s="14" t="s">
        <v>321</v>
      </c>
      <c r="I143" s="14" t="s">
        <v>322</v>
      </c>
      <c r="J143" s="14" t="s">
        <v>46</v>
      </c>
      <c r="K143" s="20" t="s">
        <v>23</v>
      </c>
    </row>
    <row r="144" spans="1:11" ht="28.8" x14ac:dyDescent="0.3">
      <c r="A144" s="14">
        <v>143</v>
      </c>
      <c r="B144" s="14" t="s">
        <v>238</v>
      </c>
      <c r="C144" s="14" t="s">
        <v>323</v>
      </c>
      <c r="D144" s="14" t="s">
        <v>298</v>
      </c>
      <c r="E144" s="14">
        <v>48683700</v>
      </c>
      <c r="F144" s="14" t="s">
        <v>324</v>
      </c>
      <c r="G144" s="21" t="s">
        <v>4</v>
      </c>
      <c r="H144" s="14" t="s">
        <v>325</v>
      </c>
      <c r="I144" s="14" t="s">
        <v>326</v>
      </c>
      <c r="J144" s="14" t="s">
        <v>46</v>
      </c>
      <c r="K144" s="20" t="s">
        <v>23</v>
      </c>
    </row>
    <row r="145" spans="1:11" ht="28.8" x14ac:dyDescent="0.3">
      <c r="A145" s="14">
        <v>144</v>
      </c>
      <c r="B145" s="14" t="s">
        <v>238</v>
      </c>
      <c r="C145" s="14" t="s">
        <v>327</v>
      </c>
      <c r="D145" s="14" t="s">
        <v>306</v>
      </c>
      <c r="E145" s="14" t="s">
        <v>328</v>
      </c>
      <c r="F145" s="14" t="s">
        <v>329</v>
      </c>
      <c r="G145" s="16" t="s">
        <v>12</v>
      </c>
      <c r="H145" s="14" t="s">
        <v>44</v>
      </c>
      <c r="I145" s="14" t="s">
        <v>330</v>
      </c>
      <c r="J145" s="14" t="s">
        <v>242</v>
      </c>
      <c r="K145" s="14" t="s">
        <v>21</v>
      </c>
    </row>
    <row r="146" spans="1:11" ht="28.8" x14ac:dyDescent="0.3">
      <c r="A146" s="14">
        <v>145</v>
      </c>
      <c r="B146" s="14" t="s">
        <v>238</v>
      </c>
      <c r="C146" s="14" t="s">
        <v>331</v>
      </c>
      <c r="D146" s="14" t="s">
        <v>306</v>
      </c>
      <c r="E146" s="14" t="s">
        <v>332</v>
      </c>
      <c r="F146" s="14" t="s">
        <v>333</v>
      </c>
      <c r="G146" s="16" t="s">
        <v>12</v>
      </c>
      <c r="H146" s="14" t="s">
        <v>44</v>
      </c>
      <c r="I146" s="14" t="s">
        <v>334</v>
      </c>
      <c r="J146" s="14" t="s">
        <v>46</v>
      </c>
      <c r="K146" s="14" t="s">
        <v>21</v>
      </c>
    </row>
    <row r="147" spans="1:11" ht="28.8" x14ac:dyDescent="0.3">
      <c r="A147" s="14">
        <v>146</v>
      </c>
      <c r="B147" s="14" t="s">
        <v>335</v>
      </c>
      <c r="C147" s="14" t="s">
        <v>336</v>
      </c>
      <c r="D147" s="14" t="s">
        <v>306</v>
      </c>
      <c r="E147" s="14" t="s">
        <v>337</v>
      </c>
      <c r="F147" s="14" t="s">
        <v>320</v>
      </c>
      <c r="G147" s="18" t="s">
        <v>6</v>
      </c>
      <c r="H147" s="14" t="s">
        <v>65</v>
      </c>
      <c r="I147" s="14" t="s">
        <v>338</v>
      </c>
      <c r="J147" s="14" t="s">
        <v>46</v>
      </c>
      <c r="K147" s="14" t="s">
        <v>22</v>
      </c>
    </row>
    <row r="148" spans="1:11" ht="28.8" x14ac:dyDescent="0.3">
      <c r="A148" s="14">
        <v>147</v>
      </c>
      <c r="B148" s="14" t="s">
        <v>335</v>
      </c>
      <c r="C148" s="14" t="s">
        <v>339</v>
      </c>
      <c r="D148" s="14" t="s">
        <v>306</v>
      </c>
      <c r="E148" s="14" t="s">
        <v>340</v>
      </c>
      <c r="F148" s="14" t="s">
        <v>320</v>
      </c>
      <c r="G148" s="18" t="s">
        <v>6</v>
      </c>
      <c r="H148" s="14" t="s">
        <v>65</v>
      </c>
      <c r="I148" s="14" t="s">
        <v>338</v>
      </c>
      <c r="J148" s="14" t="s">
        <v>46</v>
      </c>
      <c r="K148" s="14" t="s">
        <v>22</v>
      </c>
    </row>
    <row r="149" spans="1:11" ht="28.8" x14ac:dyDescent="0.3">
      <c r="A149" s="14">
        <v>148</v>
      </c>
      <c r="B149" s="14" t="s">
        <v>335</v>
      </c>
      <c r="C149" s="14" t="s">
        <v>341</v>
      </c>
      <c r="D149" s="14" t="s">
        <v>306</v>
      </c>
      <c r="E149" s="14" t="s">
        <v>342</v>
      </c>
      <c r="F149" s="14" t="s">
        <v>320</v>
      </c>
      <c r="G149" s="18" t="s">
        <v>6</v>
      </c>
      <c r="H149" s="14" t="s">
        <v>65</v>
      </c>
      <c r="I149" s="14" t="s">
        <v>338</v>
      </c>
      <c r="J149" s="14" t="s">
        <v>46</v>
      </c>
      <c r="K149" s="14" t="s">
        <v>22</v>
      </c>
    </row>
    <row r="150" spans="1:11" ht="28.8" x14ac:dyDescent="0.3">
      <c r="A150" s="14">
        <v>149</v>
      </c>
      <c r="B150" s="14" t="s">
        <v>335</v>
      </c>
      <c r="C150" s="14" t="s">
        <v>343</v>
      </c>
      <c r="D150" s="14" t="s">
        <v>306</v>
      </c>
      <c r="E150" s="14" t="s">
        <v>344</v>
      </c>
      <c r="F150" s="14" t="s">
        <v>320</v>
      </c>
      <c r="G150" s="18" t="s">
        <v>6</v>
      </c>
      <c r="H150" s="14" t="s">
        <v>65</v>
      </c>
      <c r="I150" s="14" t="s">
        <v>338</v>
      </c>
      <c r="J150" s="14" t="s">
        <v>46</v>
      </c>
      <c r="K150" s="14" t="s">
        <v>22</v>
      </c>
    </row>
    <row r="151" spans="1:11" ht="28.8" x14ac:dyDescent="0.3">
      <c r="A151" s="14">
        <v>150</v>
      </c>
      <c r="B151" s="14" t="s">
        <v>335</v>
      </c>
      <c r="C151" s="14" t="s">
        <v>345</v>
      </c>
      <c r="D151" s="14" t="s">
        <v>306</v>
      </c>
      <c r="E151" s="14" t="s">
        <v>346</v>
      </c>
      <c r="F151" s="14" t="s">
        <v>320</v>
      </c>
      <c r="G151" s="18" t="s">
        <v>6</v>
      </c>
      <c r="H151" s="14" t="s">
        <v>65</v>
      </c>
      <c r="I151" s="14" t="s">
        <v>338</v>
      </c>
      <c r="J151" s="14" t="s">
        <v>46</v>
      </c>
      <c r="K151" s="14" t="s">
        <v>22</v>
      </c>
    </row>
    <row r="152" spans="1:11" ht="28.8" x14ac:dyDescent="0.3">
      <c r="A152" s="14">
        <v>151</v>
      </c>
      <c r="B152" s="14" t="s">
        <v>335</v>
      </c>
      <c r="C152" s="14" t="s">
        <v>347</v>
      </c>
      <c r="D152" s="14" t="s">
        <v>306</v>
      </c>
      <c r="E152" s="14" t="s">
        <v>348</v>
      </c>
      <c r="F152" s="14" t="s">
        <v>320</v>
      </c>
      <c r="G152" s="18" t="s">
        <v>6</v>
      </c>
      <c r="H152" s="14" t="s">
        <v>65</v>
      </c>
      <c r="I152" s="14" t="s">
        <v>338</v>
      </c>
      <c r="J152" s="14" t="s">
        <v>46</v>
      </c>
      <c r="K152" s="14" t="s">
        <v>22</v>
      </c>
    </row>
  </sheetData>
  <autoFilter ref="A1:K15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tabSelected="1" workbookViewId="0">
      <pane ySplit="1" topLeftCell="A11" activePane="bottomLeft" state="frozen"/>
      <selection pane="bottomLeft" activeCell="A28" sqref="A28"/>
    </sheetView>
  </sheetViews>
  <sheetFormatPr defaultRowHeight="14.4" x14ac:dyDescent="0.3"/>
  <cols>
    <col min="1" max="1" width="10" customWidth="1"/>
    <col min="2" max="2" width="48" customWidth="1"/>
    <col min="3" max="3" width="10" customWidth="1"/>
    <col min="4" max="4" width="46" customWidth="1"/>
    <col min="5" max="5" width="66" customWidth="1"/>
  </cols>
  <sheetData>
    <row r="1" spans="1:5" x14ac:dyDescent="0.3">
      <c r="A1" s="24" t="s">
        <v>349</v>
      </c>
      <c r="B1" s="24" t="s">
        <v>350</v>
      </c>
      <c r="C1" s="24" t="s">
        <v>351</v>
      </c>
      <c r="D1" s="24" t="s">
        <v>352</v>
      </c>
      <c r="E1" s="24" t="s">
        <v>353</v>
      </c>
    </row>
    <row r="2" spans="1:5" x14ac:dyDescent="0.3">
      <c r="A2" s="14">
        <v>1</v>
      </c>
      <c r="B2" s="14" t="s">
        <v>354</v>
      </c>
      <c r="C2" s="14" t="s">
        <v>46</v>
      </c>
      <c r="D2" s="14" t="s">
        <v>355</v>
      </c>
      <c r="E2" s="14" t="s">
        <v>356</v>
      </c>
    </row>
    <row r="3" spans="1:5" x14ac:dyDescent="0.3">
      <c r="A3" s="14">
        <v>2</v>
      </c>
      <c r="B3" s="14" t="s">
        <v>357</v>
      </c>
      <c r="C3" s="14" t="s">
        <v>358</v>
      </c>
      <c r="D3" s="14" t="s">
        <v>355</v>
      </c>
      <c r="E3" s="14" t="s">
        <v>359</v>
      </c>
    </row>
    <row r="4" spans="1:5" x14ac:dyDescent="0.3">
      <c r="A4" s="14">
        <v>3</v>
      </c>
      <c r="B4" s="14" t="s">
        <v>360</v>
      </c>
      <c r="C4" s="14" t="s">
        <v>358</v>
      </c>
      <c r="D4" s="14" t="s">
        <v>361</v>
      </c>
      <c r="E4" s="14" t="s">
        <v>362</v>
      </c>
    </row>
    <row r="5" spans="1:5" x14ac:dyDescent="0.3">
      <c r="A5" s="14">
        <v>4</v>
      </c>
      <c r="B5" s="14" t="s">
        <v>363</v>
      </c>
      <c r="C5" s="14" t="s">
        <v>358</v>
      </c>
      <c r="D5" s="14" t="s">
        <v>364</v>
      </c>
      <c r="E5" s="14" t="s">
        <v>365</v>
      </c>
    </row>
    <row r="6" spans="1:5" x14ac:dyDescent="0.3">
      <c r="A6" s="14">
        <v>5</v>
      </c>
      <c r="B6" s="14" t="s">
        <v>366</v>
      </c>
      <c r="C6" s="14" t="s">
        <v>358</v>
      </c>
      <c r="D6" s="14" t="s">
        <v>364</v>
      </c>
      <c r="E6" s="14" t="s">
        <v>367</v>
      </c>
    </row>
    <row r="7" spans="1:5" x14ac:dyDescent="0.3">
      <c r="A7" s="14">
        <v>8</v>
      </c>
      <c r="B7" s="14" t="s">
        <v>368</v>
      </c>
      <c r="C7" s="14" t="s">
        <v>358</v>
      </c>
      <c r="D7" s="14" t="s">
        <v>369</v>
      </c>
      <c r="E7" s="14" t="s">
        <v>370</v>
      </c>
    </row>
    <row r="8" spans="1:5" x14ac:dyDescent="0.3">
      <c r="A8" s="14">
        <v>9</v>
      </c>
      <c r="B8" s="14" t="s">
        <v>371</v>
      </c>
      <c r="C8" s="14" t="s">
        <v>358</v>
      </c>
      <c r="D8" s="14" t="s">
        <v>372</v>
      </c>
      <c r="E8" s="14" t="s">
        <v>373</v>
      </c>
    </row>
    <row r="9" spans="1:5" x14ac:dyDescent="0.3">
      <c r="A9" s="14">
        <v>10</v>
      </c>
      <c r="B9" s="14" t="s">
        <v>374</v>
      </c>
      <c r="C9" s="14" t="s">
        <v>358</v>
      </c>
      <c r="D9" s="14" t="s">
        <v>372</v>
      </c>
      <c r="E9" s="14" t="s">
        <v>375</v>
      </c>
    </row>
    <row r="10" spans="1:5" x14ac:dyDescent="0.3">
      <c r="A10" s="14">
        <v>11</v>
      </c>
      <c r="B10" s="14" t="s">
        <v>376</v>
      </c>
      <c r="C10" s="14" t="s">
        <v>358</v>
      </c>
      <c r="D10" s="14" t="s">
        <v>208</v>
      </c>
      <c r="E10" s="14" t="s">
        <v>377</v>
      </c>
    </row>
    <row r="11" spans="1:5" x14ac:dyDescent="0.3">
      <c r="A11" s="14">
        <v>12</v>
      </c>
      <c r="B11" s="14" t="s">
        <v>378</v>
      </c>
      <c r="C11" s="14" t="s">
        <v>358</v>
      </c>
      <c r="D11" s="14" t="s">
        <v>208</v>
      </c>
      <c r="E11" s="14" t="s">
        <v>379</v>
      </c>
    </row>
    <row r="12" spans="1:5" x14ac:dyDescent="0.3">
      <c r="A12" s="14">
        <v>13</v>
      </c>
      <c r="B12" s="14" t="s">
        <v>380</v>
      </c>
      <c r="C12" s="14" t="s">
        <v>46</v>
      </c>
      <c r="D12" s="14" t="s">
        <v>381</v>
      </c>
      <c r="E12" s="14" t="s">
        <v>382</v>
      </c>
    </row>
    <row r="13" spans="1:5" x14ac:dyDescent="0.3">
      <c r="A13" s="14">
        <v>14</v>
      </c>
      <c r="B13" s="14" t="s">
        <v>383</v>
      </c>
      <c r="C13" s="14" t="s">
        <v>358</v>
      </c>
      <c r="D13" s="14" t="s">
        <v>384</v>
      </c>
      <c r="E13" s="14" t="s">
        <v>385</v>
      </c>
    </row>
    <row r="14" spans="1:5" x14ac:dyDescent="0.3">
      <c r="A14" s="14">
        <v>15</v>
      </c>
      <c r="B14" s="14" t="s">
        <v>386</v>
      </c>
      <c r="C14" s="14" t="s">
        <v>358</v>
      </c>
      <c r="D14" s="14" t="s">
        <v>384</v>
      </c>
      <c r="E14" s="14" t="s">
        <v>147</v>
      </c>
    </row>
    <row r="15" spans="1:5" x14ac:dyDescent="0.3">
      <c r="A15" s="14">
        <v>16</v>
      </c>
      <c r="B15" s="14" t="s">
        <v>387</v>
      </c>
      <c r="C15" s="14" t="s">
        <v>358</v>
      </c>
      <c r="D15" s="14" t="s">
        <v>388</v>
      </c>
      <c r="E15" s="14" t="s">
        <v>119</v>
      </c>
    </row>
    <row r="16" spans="1:5" x14ac:dyDescent="0.3">
      <c r="A16" s="14">
        <v>17</v>
      </c>
      <c r="B16" s="14" t="s">
        <v>389</v>
      </c>
      <c r="C16" s="14" t="s">
        <v>390</v>
      </c>
      <c r="D16" s="14" t="s">
        <v>391</v>
      </c>
      <c r="E16" s="14" t="s">
        <v>392</v>
      </c>
    </row>
    <row r="17" spans="1:5" x14ac:dyDescent="0.3">
      <c r="A17" s="14">
        <v>21</v>
      </c>
      <c r="B17" s="14" t="s">
        <v>393</v>
      </c>
      <c r="C17" s="14" t="s">
        <v>46</v>
      </c>
      <c r="D17" s="14" t="s">
        <v>394</v>
      </c>
      <c r="E17" s="14" t="s">
        <v>266</v>
      </c>
    </row>
    <row r="18" spans="1:5" x14ac:dyDescent="0.3">
      <c r="A18" s="14">
        <v>22</v>
      </c>
      <c r="B18" s="14" t="s">
        <v>395</v>
      </c>
      <c r="C18" s="14" t="s">
        <v>358</v>
      </c>
      <c r="D18" s="14" t="s">
        <v>396</v>
      </c>
      <c r="E18" s="14" t="s">
        <v>397</v>
      </c>
    </row>
    <row r="19" spans="1:5" x14ac:dyDescent="0.3">
      <c r="A19" s="14">
        <v>23</v>
      </c>
      <c r="B19" s="14" t="s">
        <v>398</v>
      </c>
      <c r="C19" s="14" t="s">
        <v>358</v>
      </c>
      <c r="D19" s="14" t="s">
        <v>399</v>
      </c>
      <c r="E19" s="14" t="s">
        <v>400</v>
      </c>
    </row>
    <row r="20" spans="1:5" ht="28.8" x14ac:dyDescent="0.3">
      <c r="A20" s="14">
        <v>24</v>
      </c>
      <c r="B20" s="14" t="s">
        <v>401</v>
      </c>
      <c r="C20" s="14" t="s">
        <v>358</v>
      </c>
      <c r="D20" s="14" t="s">
        <v>294</v>
      </c>
      <c r="E20" s="14" t="s">
        <v>402</v>
      </c>
    </row>
    <row r="21" spans="1:5" x14ac:dyDescent="0.3">
      <c r="A21" s="14">
        <v>25</v>
      </c>
      <c r="B21" s="14" t="s">
        <v>403</v>
      </c>
      <c r="C21" s="14" t="s">
        <v>358</v>
      </c>
      <c r="D21" s="14" t="s">
        <v>404</v>
      </c>
      <c r="E21" s="14" t="s">
        <v>405</v>
      </c>
    </row>
    <row r="22" spans="1:5" x14ac:dyDescent="0.3">
      <c r="A22" s="14">
        <v>26</v>
      </c>
      <c r="B22" s="14" t="s">
        <v>406</v>
      </c>
      <c r="C22" s="14" t="s">
        <v>358</v>
      </c>
      <c r="D22" s="14" t="s">
        <v>407</v>
      </c>
      <c r="E22" s="14" t="s">
        <v>382</v>
      </c>
    </row>
    <row r="23" spans="1:5" x14ac:dyDescent="0.3">
      <c r="A23" s="14">
        <v>31</v>
      </c>
      <c r="B23" s="14" t="s">
        <v>408</v>
      </c>
      <c r="C23" s="14" t="s">
        <v>358</v>
      </c>
      <c r="D23" s="14" t="s">
        <v>409</v>
      </c>
      <c r="E23" s="14" t="s">
        <v>410</v>
      </c>
    </row>
    <row r="24" spans="1:5" x14ac:dyDescent="0.3">
      <c r="A24" s="14" t="s">
        <v>46</v>
      </c>
      <c r="B24" s="14" t="s">
        <v>411</v>
      </c>
      <c r="C24" s="14" t="s">
        <v>46</v>
      </c>
      <c r="D24" s="14" t="s">
        <v>412</v>
      </c>
      <c r="E24" s="14" t="s">
        <v>413</v>
      </c>
    </row>
    <row r="25" spans="1:5" x14ac:dyDescent="0.3">
      <c r="A25" s="14" t="s">
        <v>46</v>
      </c>
      <c r="B25" s="14" t="s">
        <v>414</v>
      </c>
      <c r="C25" s="14" t="s">
        <v>46</v>
      </c>
      <c r="D25" s="14" t="s">
        <v>415</v>
      </c>
      <c r="E25" s="14" t="s">
        <v>416</v>
      </c>
    </row>
    <row r="26" spans="1:5" x14ac:dyDescent="0.3">
      <c r="A26" s="14" t="s">
        <v>46</v>
      </c>
      <c r="B26" s="14" t="s">
        <v>417</v>
      </c>
      <c r="C26" s="14" t="s">
        <v>46</v>
      </c>
      <c r="D26" s="14" t="s">
        <v>418</v>
      </c>
      <c r="E26" s="14" t="s">
        <v>419</v>
      </c>
    </row>
    <row r="28" spans="1:5" x14ac:dyDescent="0.3">
      <c r="A28" s="2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Klasifikasi Parameter</vt:lpstr>
      <vt:lpstr>Rujukan 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15</cp:lastModifiedBy>
  <dcterms:created xsi:type="dcterms:W3CDTF">2026-10-08T14:25:06Z</dcterms:created>
  <dcterms:modified xsi:type="dcterms:W3CDTF">2026-10-11T19:21:54Z</dcterms:modified>
</cp:coreProperties>
</file>